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uzhor_aa\Downloads\"/>
    </mc:Choice>
  </mc:AlternateContent>
  <bookViews>
    <workbookView xWindow="0" yWindow="0" windowWidth="16380" windowHeight="8190" tabRatio="500" firstSheet="4" activeTab="7"/>
  </bookViews>
  <sheets>
    <sheet name="Источник_нетаблицы" sheetId="2" r:id="rId1"/>
    <sheet name="Источник_годы_месяцы" sheetId="3" r:id="rId2"/>
    <sheet name="Т1_Типы_техники" sheetId="4" r:id="rId3"/>
    <sheet name="Т2_Месяцы_продажи" sheetId="5" r:id="rId4"/>
    <sheet name="Т3_Годы_2017_2018" sheetId="6" r:id="rId5"/>
    <sheet name="Т4_Кварталы" sheetId="7" r:id="rId6"/>
    <sheet name="Т5_Продавцы" sheetId="8" r:id="rId7"/>
    <sheet name="Задача2_Месяц_Год" sheetId="9" r:id="rId8"/>
  </sheets>
  <definedNames>
    <definedName name="_xlnm._FilterDatabase" localSheetId="7" hidden="1">Задача2_Месяц_Год!$A$4:$C$124</definedName>
    <definedName name="_xlnm._FilterDatabase" localSheetId="2" hidden="1">Т1_Типы_техники!$A$4:$D$16</definedName>
    <definedName name="_xlnm._FilterDatabase" localSheetId="4" hidden="1">Т3_Годы_2017_2018!$A$4:$E$28</definedName>
    <definedName name="_xlnm._FilterDatabase" localSheetId="5" hidden="1">Т4_Кварталы!$A$4:$C$48</definedName>
    <definedName name="Годы">Источник_годы_месяцы!$A$1:$A$11</definedName>
    <definedName name="Месяц">Источник_годы_месяцы!$C$1:$C$13</definedName>
    <definedName name="Нетаблица_1">Источник_нетаблицы!$A$1:$D$17</definedName>
    <definedName name="Нетаблица_2">Источник_нетаблицы!$W$1:$X$10</definedName>
    <definedName name="Нетаблица_3">Источник_нетаблицы!$F$1:$K$14</definedName>
    <definedName name="Нетаблица_4">Источник_нетаблицы!$M$1:$Q$12</definedName>
    <definedName name="Нетаблица_5">Источник_нетаблицы!$S$1:$U$17</definedName>
  </definedNames>
  <calcPr calcId="162913" iterateDelta="1E-4"/>
</workbook>
</file>

<file path=xl/calcChain.xml><?xml version="1.0" encoding="utf-8"?>
<calcChain xmlns="http://schemas.openxmlformats.org/spreadsheetml/2006/main">
  <c r="F9" i="9" l="1"/>
  <c r="F8" i="9"/>
  <c r="F6" i="9"/>
  <c r="F5" i="9"/>
  <c r="F7" i="9" s="1"/>
  <c r="D12" i="8"/>
  <c r="E12" i="8" s="1"/>
  <c r="D11" i="8"/>
  <c r="E11" i="8" s="1"/>
  <c r="D10" i="8"/>
  <c r="E10" i="8" s="1"/>
  <c r="D9" i="8"/>
  <c r="E9" i="8" s="1"/>
  <c r="D8" i="8"/>
  <c r="E8" i="8" s="1"/>
  <c r="D7" i="8"/>
  <c r="E7" i="8" s="1"/>
  <c r="D6" i="8"/>
  <c r="E6" i="8" s="1"/>
  <c r="D5" i="8"/>
  <c r="E5" i="8" s="1"/>
  <c r="D34" i="6"/>
  <c r="D33" i="6"/>
  <c r="D32" i="6"/>
  <c r="D31" i="6"/>
  <c r="D20" i="4"/>
  <c r="D19" i="4"/>
  <c r="D21" i="4" l="1"/>
</calcChain>
</file>

<file path=xl/sharedStrings.xml><?xml version="1.0" encoding="utf-8"?>
<sst xmlns="http://schemas.openxmlformats.org/spreadsheetml/2006/main" count="616" uniqueCount="218">
  <si>
    <t>Филиал</t>
  </si>
  <si>
    <t>Тип</t>
  </si>
  <si>
    <t xml:space="preserve">Выручка </t>
  </si>
  <si>
    <t xml:space="preserve">Количество </t>
  </si>
  <si>
    <t>2017</t>
  </si>
  <si>
    <t>Продавец</t>
  </si>
  <si>
    <t>Квартал1</t>
  </si>
  <si>
    <t>Квартал2</t>
  </si>
  <si>
    <t>Квартал3</t>
  </si>
  <si>
    <t>Квартал4</t>
  </si>
  <si>
    <t>Показатель</t>
  </si>
  <si>
    <t>Значение</t>
  </si>
  <si>
    <t>Месяц</t>
  </si>
  <si>
    <t>Продажи</t>
  </si>
  <si>
    <t>Ижевск</t>
  </si>
  <si>
    <t>Легкий</t>
  </si>
  <si>
    <t>Гоголь</t>
  </si>
  <si>
    <t>Янв</t>
  </si>
  <si>
    <t>13Mруб., 11 тыс. шт.</t>
  </si>
  <si>
    <t>Средний</t>
  </si>
  <si>
    <t>Горький</t>
  </si>
  <si>
    <t>Кол-во</t>
  </si>
  <si>
    <t>Фев, мар</t>
  </si>
  <si>
    <t>15Mруб., 14 тыс. шт.</t>
  </si>
  <si>
    <t>Тяжелый</t>
  </si>
  <si>
    <t>Дорофеев</t>
  </si>
  <si>
    <t>Апр</t>
  </si>
  <si>
    <t>14Mруб., 10 тыс. шт.</t>
  </si>
  <si>
    <t>Итого Ижевск</t>
  </si>
  <si>
    <t>Все типы</t>
  </si>
  <si>
    <t>Лермонтов</t>
  </si>
  <si>
    <t>Май</t>
  </si>
  <si>
    <t>1,1Mруб., 10 тыс. шт.</t>
  </si>
  <si>
    <t>Казань</t>
  </si>
  <si>
    <t>Некрасов</t>
  </si>
  <si>
    <t>Июн, авг, дек</t>
  </si>
  <si>
    <t>10Mруб., 13 тыс. шт.</t>
  </si>
  <si>
    <t>Островский</t>
  </si>
  <si>
    <t>Июл</t>
  </si>
  <si>
    <t>Пелевин</t>
  </si>
  <si>
    <t>Сен</t>
  </si>
  <si>
    <t>14Mруб., 15 тыс. шт.</t>
  </si>
  <si>
    <t>Итого Казань</t>
  </si>
  <si>
    <t>Новгород</t>
  </si>
  <si>
    <t>Пушкин</t>
  </si>
  <si>
    <t>Окт</t>
  </si>
  <si>
    <t>12Mруб., 12 тыс. шт.</t>
  </si>
  <si>
    <t>Толстой</t>
  </si>
  <si>
    <t>Ноя</t>
  </si>
  <si>
    <t>Тургенев</t>
  </si>
  <si>
    <t>Самара</t>
  </si>
  <si>
    <t>Чехов</t>
  </si>
  <si>
    <t>Итого Новгород</t>
  </si>
  <si>
    <t>Итого Самара</t>
  </si>
  <si>
    <t>Годы</t>
  </si>
  <si>
    <t>Январь</t>
  </si>
  <si>
    <t>Февраль</t>
  </si>
  <si>
    <t>Март</t>
  </si>
  <si>
    <t>Апрель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</si>
  <si>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</si>
  <si>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</si>
  <si>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</si>
  <si>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</si>
  <si>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</si>
  <si>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</si>
  <si>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</si>
  <si>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Выручка</t>
  </si>
  <si>
    <t>Количество</t>
  </si>
  <si>
    <t>Сумма выручки по результату</t>
  </si>
  <si>
    <t>Сумма строк «Итого» в источнике</t>
  </si>
  <si>
    <t>Выручка, млн руб.</t>
  </si>
  <si>
    <t>Количество, тыс. шт.</t>
  </si>
  <si>
    <t>Фев</t>
  </si>
  <si>
    <t>Мар</t>
  </si>
  <si>
    <t>Июн</t>
  </si>
  <si>
    <t>Авг</t>
  </si>
  <si>
    <t>Дек</t>
  </si>
  <si>
    <t>Нетаблица 3 → таблица: год вынесен в отдельный столбец</t>
  </si>
  <si>
    <t>Год</t>
  </si>
  <si>
    <t>Выручка 2017</t>
  </si>
  <si>
    <t>Выручка 2018</t>
  </si>
  <si>
    <t>Квартал</t>
  </si>
  <si>
    <t>Расхождение</t>
  </si>
  <si>
    <t>Месяц–Год</t>
  </si>
  <si>
    <t>Январь 2011</t>
  </si>
  <si>
    <t>Лет в источнике</t>
  </si>
  <si>
    <t>Февраль 2011</t>
  </si>
  <si>
    <t>Месяцев в источнике</t>
  </si>
  <si>
    <t>Март 2011</t>
  </si>
  <si>
    <t>Ожидаемое число пар</t>
  </si>
  <si>
    <t>Апрель 2011</t>
  </si>
  <si>
    <t>Фактически строк в результате</t>
  </si>
  <si>
    <t>Май 2011</t>
  </si>
  <si>
    <t>Уникальных пар</t>
  </si>
  <si>
    <t>Июнь 2011</t>
  </si>
  <si>
    <t>Июль 2011</t>
  </si>
  <si>
    <t>Август 2011</t>
  </si>
  <si>
    <t>Сентябрь 2011</t>
  </si>
  <si>
    <t>Октябрь 2011</t>
  </si>
  <si>
    <t>Ноябрь 2011</t>
  </si>
  <si>
    <t>Декабрь 2011</t>
  </si>
  <si>
    <t>Январь 2012</t>
  </si>
  <si>
    <t>Февраль 2012</t>
  </si>
  <si>
    <t>Март 2012</t>
  </si>
  <si>
    <t>Апрель 2012</t>
  </si>
  <si>
    <t>Май 2012</t>
  </si>
  <si>
    <t>Июнь 2012</t>
  </si>
  <si>
    <t>Июль 2012</t>
  </si>
  <si>
    <t>Август 2012</t>
  </si>
  <si>
    <t>Сентябрь 2012</t>
  </si>
  <si>
    <t>Октябрь 2012</t>
  </si>
  <si>
    <t>Ноябрь 2012</t>
  </si>
  <si>
    <t>Декабрь 2012</t>
  </si>
  <si>
    <t>Январь 2013</t>
  </si>
  <si>
    <t>Февраль 2013</t>
  </si>
  <si>
    <t>Март 2013</t>
  </si>
  <si>
    <t>Апрель 2013</t>
  </si>
  <si>
    <t>Май 2013</t>
  </si>
  <si>
    <t>Июнь 2013</t>
  </si>
  <si>
    <t>Июль 2013</t>
  </si>
  <si>
    <t>Август 2013</t>
  </si>
  <si>
    <t>Сентябрь 2013</t>
  </si>
  <si>
    <t>Октябрь 2013</t>
  </si>
  <si>
    <t>Ноябрь 2013</t>
  </si>
  <si>
    <t>Декабрь 2013</t>
  </si>
  <si>
    <t>Январь 2014</t>
  </si>
  <si>
    <t>Февраль 2014</t>
  </si>
  <si>
    <t>Март 2014</t>
  </si>
  <si>
    <t>Апрель 2014</t>
  </si>
  <si>
    <t>Май 2014</t>
  </si>
  <si>
    <t>Июнь 2014</t>
  </si>
  <si>
    <t>Июль 2014</t>
  </si>
  <si>
    <t>Август 2014</t>
  </si>
  <si>
    <t>Сентябрь 2014</t>
  </si>
  <si>
    <t>Октябрь 2014</t>
  </si>
  <si>
    <t>Ноябрь 2014</t>
  </si>
  <si>
    <t>Декабрь 2014</t>
  </si>
  <si>
    <t>Январь 2015</t>
  </si>
  <si>
    <t>Февраль 2015</t>
  </si>
  <si>
    <t>Март 2015</t>
  </si>
  <si>
    <t>Апрель 2015</t>
  </si>
  <si>
    <t>Май 2015</t>
  </si>
  <si>
    <t>Июнь 2015</t>
  </si>
  <si>
    <t>Июль 2015</t>
  </si>
  <si>
    <t>Август 2015</t>
  </si>
  <si>
    <t>Сентябрь 2015</t>
  </si>
  <si>
    <t>Октябрь 2015</t>
  </si>
  <si>
    <t>Ноябрь 2015</t>
  </si>
  <si>
    <t>Декабрь 2015</t>
  </si>
  <si>
    <t>Январь 2016</t>
  </si>
  <si>
    <t>Февраль 2016</t>
  </si>
  <si>
    <t>Март 2016</t>
  </si>
  <si>
    <t>Апрель 2016</t>
  </si>
  <si>
    <t>Май 2016</t>
  </si>
  <si>
    <t>Июнь 2016</t>
  </si>
  <si>
    <t>Июль 2016</t>
  </si>
  <si>
    <t>Август 2016</t>
  </si>
  <si>
    <t>Сентябрь 2016</t>
  </si>
  <si>
    <t>Октябрь 2016</t>
  </si>
  <si>
    <t>Ноябрь 2016</t>
  </si>
  <si>
    <t>Декабрь 2016</t>
  </si>
  <si>
    <t>Январь 2017</t>
  </si>
  <si>
    <t>Февраль 2017</t>
  </si>
  <si>
    <t>Март 2017</t>
  </si>
  <si>
    <t>Апрель 2017</t>
  </si>
  <si>
    <t>Май 2017</t>
  </si>
  <si>
    <t>Июнь 2017</t>
  </si>
  <si>
    <t>Июль 2017</t>
  </si>
  <si>
    <t>Август 2017</t>
  </si>
  <si>
    <t>Сентябрь 2017</t>
  </si>
  <si>
    <t>Октябрь 2017</t>
  </si>
  <si>
    <t>Ноябрь 2017</t>
  </si>
  <si>
    <t>Декабрь 2017</t>
  </si>
  <si>
    <t>Январь 2018</t>
  </si>
  <si>
    <t>Февраль 2018</t>
  </si>
  <si>
    <t>Март 2018</t>
  </si>
  <si>
    <t>Апрель 2018</t>
  </si>
  <si>
    <t>Май 2018</t>
  </si>
  <si>
    <t>Июнь 2018</t>
  </si>
  <si>
    <t>Июль 2018</t>
  </si>
  <si>
    <t>Август 2018</t>
  </si>
  <si>
    <t>Сентябрь 2018</t>
  </si>
  <si>
    <t>Октябрь 2018</t>
  </si>
  <si>
    <t>Ноябрь 2018</t>
  </si>
  <si>
    <t>Декабрь 2018</t>
  </si>
  <si>
    <t>Январь 2019</t>
  </si>
  <si>
    <t>Февраль 2019</t>
  </si>
  <si>
    <t>Март 2019</t>
  </si>
  <si>
    <t>Апрель 2019</t>
  </si>
  <si>
    <t>Май 2019</t>
  </si>
  <si>
    <t>Июнь 2019</t>
  </si>
  <si>
    <t>Июль 2019</t>
  </si>
  <si>
    <t>Август 2019</t>
  </si>
  <si>
    <t>Сентябрь 2019</t>
  </si>
  <si>
    <t>Октябрь 2019</t>
  </si>
  <si>
    <t>Ноябрь 2019</t>
  </si>
  <si>
    <t>Декабрь 2019</t>
  </si>
  <si>
    <t>Январь 2020</t>
  </si>
  <si>
    <t>Февраль 2020</t>
  </si>
  <si>
    <t>Март 2020</t>
  </si>
  <si>
    <t>Апрель 2020</t>
  </si>
  <si>
    <t>Май 2020</t>
  </si>
  <si>
    <t>Июнь 2020</t>
  </si>
  <si>
    <t>Июль 2020</t>
  </si>
  <si>
    <t>Август 2020</t>
  </si>
  <si>
    <t>Сентябрь 2020</t>
  </si>
  <si>
    <t>Октябрь 2020</t>
  </si>
  <si>
    <t>Ноябрь 2020</t>
  </si>
  <si>
    <t>Декабрь 2020</t>
  </si>
  <si>
    <t>Показатели по каждому типу техники</t>
  </si>
  <si>
    <t>Проверка</t>
  </si>
  <si>
    <t>Числовые продажи, месяцы с заглавной буквы</t>
  </si>
  <si>
    <t>Выручка 2017 в источнике</t>
  </si>
  <si>
    <t>Выручка 2018 в источнике</t>
  </si>
  <si>
    <t>Продавец – Квартал – Выручка</t>
  </si>
  <si>
    <t>Показатели по продавцам в столбцах</t>
  </si>
  <si>
    <t>Проверка: выручка из Т4_Кварталы</t>
  </si>
  <si>
    <t>Задача 2: Все возможные пары «месяц–год»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</si>
</sst>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\ ##0"/>
    <numFmt numFmtId="165" formatCode="00"/>
  </numFmts>
  <fonts count="11" x14ac:knownFonts="1">
    <font>
      <sz val="11"/>
      <color theme="1"/>
      <name val="Calibri"/>
      <family val="2"/>
      <charset val="1"/>
    </font>
    <font>
      <b/>
      <sz val="13"/>
      <color rgb="FF1F3864"/>
      <name val="Arial"/>
      <charset val="1"/>
    </font>
    <font>
      <i/>
      <sz val="10"/>
      <color rgb="FF595959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b/>
      <sz val="13"/>
      <name val="Arial"/>
      <family val="2"/>
      <charset val="204"/>
    </font>
    <font>
      <sz val="11"/>
      <name val="Calibri"/>
      <family val="2"/>
      <charset val="1"/>
    </font>
    <font>
      <i/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F2F2F2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 applyAlignment="1"/>
    <xf numFmtId="0" fontId="0" fillId="0" borderId="0" xfId="0" applyAlignment="1"/>
    <xf numFmtId="0" fontId="3" fillId="2" borderId="1" xfId="0" applyFont="1" applyFill="1" applyBorder="1" applyAlignment="1"/>
    <xf numFmtId="1" fontId="4" fillId="0" borderId="1" xfId="0" applyNumberFormat="1" applyFont="1" applyBorder="1" applyAlignment="1"/>
    <xf numFmtId="164" fontId="4" fillId="0" borderId="1" xfId="0" applyNumberFormat="1" applyFont="1" applyBorder="1" applyAlignment="1"/>
    <xf numFmtId="0" fontId="4" fillId="0" borderId="1" xfId="0" applyFont="1" applyBorder="1" applyAlignment="1"/>
    <xf numFmtId="0" fontId="1" fillId="0" borderId="0" xfId="0" applyFont="1" applyFill="1" applyAlignment="1"/>
    <xf numFmtId="0" fontId="0" fillId="0" borderId="0" xfId="0" applyFill="1" applyAlignment="1"/>
    <xf numFmtId="0" fontId="2" fillId="0" borderId="0" xfId="0" applyFont="1" applyFill="1" applyAlignment="1"/>
    <xf numFmtId="0" fontId="5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/>
    <xf numFmtId="164" fontId="4" fillId="0" borderId="1" xfId="0" applyNumberFormat="1" applyFont="1" applyFill="1" applyBorder="1" applyAlignment="1">
      <alignment horizontal="right"/>
    </xf>
    <xf numFmtId="0" fontId="6" fillId="0" borderId="0" xfId="0" applyFont="1" applyFill="1" applyAlignment="1"/>
    <xf numFmtId="0" fontId="7" fillId="0" borderId="0" xfId="0" applyFont="1" applyFill="1" applyAlignment="1"/>
    <xf numFmtId="0" fontId="8" fillId="0" borderId="0" xfId="0" applyFont="1" applyFill="1" applyAlignment="1"/>
    <xf numFmtId="0" fontId="9" fillId="0" borderId="1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/>
    <xf numFmtId="164" fontId="10" fillId="0" borderId="1" xfId="0" applyNumberFormat="1" applyFont="1" applyFill="1" applyBorder="1" applyAlignment="1">
      <alignment horizontal="right"/>
    </xf>
    <xf numFmtId="0" fontId="9" fillId="0" borderId="0" xfId="0" applyFont="1" applyFill="1" applyAlignment="1"/>
    <xf numFmtId="0" fontId="10" fillId="0" borderId="0" xfId="0" applyFont="1" applyFill="1" applyAlignment="1"/>
    <xf numFmtId="164" fontId="9" fillId="0" borderId="0" xfId="0" applyNumberFormat="1" applyFont="1" applyFill="1" applyAlignment="1"/>
    <xf numFmtId="0" fontId="3" fillId="0" borderId="0" xfId="0" applyFont="1" applyFill="1" applyAlignment="1"/>
    <xf numFmtId="0" fontId="4" fillId="0" borderId="0" xfId="0" applyFont="1" applyFill="1" applyAlignment="1"/>
    <xf numFmtId="0" fontId="2" fillId="0" borderId="0" xfId="0" applyFont="1" applyFill="1" applyAlignment="1">
      <alignment vertical="top" wrapText="1"/>
    </xf>
    <xf numFmtId="165" fontId="4" fillId="0" borderId="1" xfId="0" applyNumberFormat="1" applyFont="1" applyFill="1" applyBorder="1" applyAlignment="1">
      <alignment horizontal="right"/>
    </xf>
    <xf numFmtId="1" fontId="4" fillId="0" borderId="1" xfId="0" applyNumberFormat="1" applyFont="1" applyFill="1" applyBorder="1" applyAlignment="1">
      <alignment horizontal="right"/>
    </xf>
    <xf numFmtId="164" fontId="3" fillId="0" borderId="0" xfId="0" applyNumberFormat="1" applyFont="1" applyFill="1" applyAlignment="1"/>
    <xf numFmtId="164" fontId="10" fillId="0" borderId="1" xfId="0" applyNumberFormat="1" applyFont="1" applyFill="1" applyBorder="1" applyAlignment="1"/>
    <xf numFmtId="0" fontId="8" fillId="0" borderId="0" xfId="0" applyFont="1" applyFill="1" applyAlignment="1">
      <alignment vertical="top" wrapText="1"/>
    </xf>
    <xf numFmtId="1" fontId="10" fillId="0" borderId="1" xfId="0" applyNumberFormat="1" applyFont="1" applyFill="1" applyBorder="1" applyAlignment="1">
      <alignment horizontal="right"/>
    </xf>
    <xf numFmtId="1" fontId="9" fillId="0" borderId="0" xfId="0" applyNumberFormat="1" applyFont="1" applyFill="1" applyAlignme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6"/>
  <sheetViews>
    <sheetView zoomScaleNormal="100" workbookViewId="0">
      <selection activeCell="B26" sqref="B26"/>
    </sheetView>
  </sheetViews>
  <sheetFormatPr defaultColWidth="8.7109375" defaultRowHeight="15" x14ac:dyDescent="0.25"/>
  <cols>
    <col min="1" max="24" width="13" style="1" customWidth="1"/>
  </cols>
  <sheetData>
    <row r="1" spans="1:24" ht="1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H1" s="2" t="s">
        <v>4</v>
      </c>
      <c r="J1" s="3">
        <v>2018</v>
      </c>
      <c r="M1" s="2" t="s">
        <v>5</v>
      </c>
      <c r="N1" s="2" t="s">
        <v>6</v>
      </c>
      <c r="O1" s="2" t="s">
        <v>7</v>
      </c>
      <c r="P1" s="2" t="s">
        <v>8</v>
      </c>
      <c r="Q1" s="2" t="s">
        <v>9</v>
      </c>
      <c r="S1" s="2" t="s">
        <v>5</v>
      </c>
      <c r="T1" s="2" t="s">
        <v>10</v>
      </c>
      <c r="U1" s="2" t="s">
        <v>11</v>
      </c>
      <c r="W1" s="2" t="s">
        <v>12</v>
      </c>
      <c r="X1" s="2" t="s">
        <v>13</v>
      </c>
    </row>
    <row r="2" spans="1:24" ht="15" customHeight="1" x14ac:dyDescent="0.25">
      <c r="A2" s="2" t="s">
        <v>14</v>
      </c>
      <c r="B2" s="2" t="s">
        <v>15</v>
      </c>
      <c r="C2" s="4">
        <v>218606016</v>
      </c>
      <c r="D2" s="4">
        <v>241</v>
      </c>
      <c r="F2" s="2" t="s">
        <v>0</v>
      </c>
      <c r="G2" s="2" t="s">
        <v>1</v>
      </c>
      <c r="H2" s="2" t="s">
        <v>2</v>
      </c>
      <c r="I2" s="2" t="s">
        <v>3</v>
      </c>
      <c r="J2" s="2" t="s">
        <v>2</v>
      </c>
      <c r="K2" s="2" t="s">
        <v>3</v>
      </c>
      <c r="M2" s="2" t="s">
        <v>16</v>
      </c>
      <c r="N2" s="4">
        <v>77344814</v>
      </c>
      <c r="O2" s="4">
        <v>36020950</v>
      </c>
      <c r="P2" s="4">
        <v>92945563</v>
      </c>
      <c r="Q2" s="4">
        <v>97079704</v>
      </c>
      <c r="S2" s="2" t="s">
        <v>16</v>
      </c>
      <c r="T2" s="2" t="s">
        <v>2</v>
      </c>
      <c r="U2" s="4">
        <v>303391031</v>
      </c>
      <c r="W2" s="2" t="s">
        <v>17</v>
      </c>
      <c r="X2" s="2" t="s">
        <v>18</v>
      </c>
    </row>
    <row r="3" spans="1:24" ht="15" customHeight="1" x14ac:dyDescent="0.25">
      <c r="A3" s="5" t="s">
        <v>14</v>
      </c>
      <c r="B3" s="5" t="s">
        <v>19</v>
      </c>
      <c r="C3" s="4">
        <v>238373698</v>
      </c>
      <c r="D3" s="4">
        <v>315</v>
      </c>
      <c r="F3" s="5" t="s">
        <v>14</v>
      </c>
      <c r="G3" s="5" t="s">
        <v>15</v>
      </c>
      <c r="H3" s="4">
        <v>55008560</v>
      </c>
      <c r="I3" s="4">
        <v>44</v>
      </c>
      <c r="J3" s="4">
        <v>58842953</v>
      </c>
      <c r="K3" s="4">
        <v>52</v>
      </c>
      <c r="M3" s="5" t="s">
        <v>20</v>
      </c>
      <c r="N3" s="4">
        <v>68526537</v>
      </c>
      <c r="O3" s="4">
        <v>88693054</v>
      </c>
      <c r="P3" s="4">
        <v>38606045</v>
      </c>
      <c r="Q3" s="4">
        <v>78470629</v>
      </c>
      <c r="S3" s="5" t="s">
        <v>16</v>
      </c>
      <c r="T3" s="5" t="s">
        <v>21</v>
      </c>
      <c r="U3" s="4">
        <v>349</v>
      </c>
      <c r="W3" s="5" t="s">
        <v>22</v>
      </c>
      <c r="X3" s="5" t="s">
        <v>23</v>
      </c>
    </row>
    <row r="4" spans="1:24" ht="15" customHeight="1" x14ac:dyDescent="0.25">
      <c r="A4" s="5" t="s">
        <v>14</v>
      </c>
      <c r="B4" s="5" t="s">
        <v>24</v>
      </c>
      <c r="C4" s="4">
        <v>232728701</v>
      </c>
      <c r="D4" s="4">
        <v>222</v>
      </c>
      <c r="F4" s="5" t="s">
        <v>14</v>
      </c>
      <c r="G4" s="5" t="s">
        <v>19</v>
      </c>
      <c r="H4" s="4">
        <v>55404792</v>
      </c>
      <c r="I4" s="4">
        <v>83</v>
      </c>
      <c r="J4" s="4">
        <v>74386120</v>
      </c>
      <c r="K4" s="4">
        <v>82</v>
      </c>
      <c r="M4" s="5" t="s">
        <v>25</v>
      </c>
      <c r="N4" s="4">
        <v>79762016</v>
      </c>
      <c r="O4" s="4">
        <v>66990500</v>
      </c>
      <c r="P4" s="4">
        <v>71329109</v>
      </c>
      <c r="Q4" s="4">
        <v>63912904</v>
      </c>
      <c r="S4" s="5" t="s">
        <v>20</v>
      </c>
      <c r="T4" s="5" t="s">
        <v>2</v>
      </c>
      <c r="U4" s="4">
        <v>274296265</v>
      </c>
      <c r="W4" s="5" t="s">
        <v>26</v>
      </c>
      <c r="X4" s="5" t="s">
        <v>27</v>
      </c>
    </row>
    <row r="5" spans="1:24" ht="15" customHeight="1" x14ac:dyDescent="0.25">
      <c r="A5" s="5" t="s">
        <v>28</v>
      </c>
      <c r="B5" s="5" t="s">
        <v>29</v>
      </c>
      <c r="C5" s="4">
        <v>689708415</v>
      </c>
      <c r="D5" s="4">
        <v>778</v>
      </c>
      <c r="F5" s="5" t="s">
        <v>14</v>
      </c>
      <c r="G5" s="5" t="s">
        <v>24</v>
      </c>
      <c r="H5" s="4">
        <v>81792128</v>
      </c>
      <c r="I5" s="4">
        <v>71</v>
      </c>
      <c r="J5" s="4">
        <v>56260631</v>
      </c>
      <c r="K5" s="4">
        <v>59</v>
      </c>
      <c r="M5" s="5" t="s">
        <v>30</v>
      </c>
      <c r="N5" s="4">
        <v>127196858</v>
      </c>
      <c r="O5" s="4">
        <v>82727695</v>
      </c>
      <c r="P5" s="4">
        <v>59833589</v>
      </c>
      <c r="Q5" s="4">
        <v>104332427</v>
      </c>
      <c r="S5" s="5" t="s">
        <v>20</v>
      </c>
      <c r="T5" s="5" t="s">
        <v>21</v>
      </c>
      <c r="U5" s="4">
        <v>289</v>
      </c>
      <c r="W5" s="5" t="s">
        <v>31</v>
      </c>
      <c r="X5" s="5" t="s">
        <v>32</v>
      </c>
    </row>
    <row r="6" spans="1:24" ht="15" customHeight="1" x14ac:dyDescent="0.25">
      <c r="A6" s="5" t="s">
        <v>33</v>
      </c>
      <c r="B6" s="5" t="s">
        <v>15</v>
      </c>
      <c r="C6" s="4">
        <v>378668372</v>
      </c>
      <c r="D6" s="4">
        <v>373</v>
      </c>
      <c r="F6" s="5" t="s">
        <v>33</v>
      </c>
      <c r="G6" s="5" t="s">
        <v>15</v>
      </c>
      <c r="H6" s="4">
        <v>131685018</v>
      </c>
      <c r="I6" s="4">
        <v>134</v>
      </c>
      <c r="J6" s="4">
        <v>109811775</v>
      </c>
      <c r="K6" s="4">
        <v>103</v>
      </c>
      <c r="M6" s="5" t="s">
        <v>34</v>
      </c>
      <c r="N6" s="4">
        <v>52710398</v>
      </c>
      <c r="O6" s="4">
        <v>67249634</v>
      </c>
      <c r="P6" s="4">
        <v>111525281</v>
      </c>
      <c r="Q6" s="4">
        <v>63250850</v>
      </c>
      <c r="S6" s="5" t="s">
        <v>25</v>
      </c>
      <c r="T6" s="5" t="s">
        <v>2</v>
      </c>
      <c r="U6" s="4">
        <v>281994529</v>
      </c>
      <c r="W6" s="5" t="s">
        <v>35</v>
      </c>
      <c r="X6" s="5" t="s">
        <v>36</v>
      </c>
    </row>
    <row r="7" spans="1:24" ht="15" customHeight="1" x14ac:dyDescent="0.25">
      <c r="A7" s="5" t="s">
        <v>33</v>
      </c>
      <c r="B7" s="5" t="s">
        <v>19</v>
      </c>
      <c r="C7" s="4">
        <v>206221305</v>
      </c>
      <c r="D7" s="4">
        <v>201</v>
      </c>
      <c r="F7" s="5" t="s">
        <v>33</v>
      </c>
      <c r="G7" s="5" t="s">
        <v>19</v>
      </c>
      <c r="H7" s="4">
        <v>6422235</v>
      </c>
      <c r="I7" s="4">
        <v>10</v>
      </c>
      <c r="J7" s="4">
        <v>77060682</v>
      </c>
      <c r="K7" s="4">
        <v>66</v>
      </c>
      <c r="M7" s="5" t="s">
        <v>37</v>
      </c>
      <c r="N7" s="4">
        <v>70567776</v>
      </c>
      <c r="O7" s="4">
        <v>67401782</v>
      </c>
      <c r="P7" s="4">
        <v>72263380</v>
      </c>
      <c r="Q7" s="4">
        <v>72751931</v>
      </c>
      <c r="S7" s="5" t="s">
        <v>25</v>
      </c>
      <c r="T7" s="5" t="s">
        <v>21</v>
      </c>
      <c r="U7" s="4">
        <v>326</v>
      </c>
      <c r="W7" s="5" t="s">
        <v>38</v>
      </c>
      <c r="X7" s="5" t="s">
        <v>23</v>
      </c>
    </row>
    <row r="8" spans="1:24" ht="15" customHeight="1" x14ac:dyDescent="0.25">
      <c r="A8" s="5" t="s">
        <v>33</v>
      </c>
      <c r="B8" s="5" t="s">
        <v>24</v>
      </c>
      <c r="C8" s="4">
        <v>303427543</v>
      </c>
      <c r="D8" s="4">
        <v>351</v>
      </c>
      <c r="F8" s="5" t="s">
        <v>33</v>
      </c>
      <c r="G8" s="5" t="s">
        <v>24</v>
      </c>
      <c r="H8" s="4">
        <v>37463965</v>
      </c>
      <c r="I8" s="4">
        <v>60</v>
      </c>
      <c r="J8" s="4">
        <v>74292753</v>
      </c>
      <c r="K8" s="4">
        <v>93</v>
      </c>
      <c r="M8" s="5" t="s">
        <v>39</v>
      </c>
      <c r="N8" s="4">
        <v>47663654</v>
      </c>
      <c r="O8" s="4">
        <v>29091273</v>
      </c>
      <c r="P8" s="4">
        <v>48675088</v>
      </c>
      <c r="Q8" s="4">
        <v>52191780</v>
      </c>
      <c r="S8" s="5" t="s">
        <v>30</v>
      </c>
      <c r="T8" s="5" t="s">
        <v>2</v>
      </c>
      <c r="U8" s="4">
        <v>374090569</v>
      </c>
      <c r="W8" s="5" t="s">
        <v>40</v>
      </c>
      <c r="X8" s="5" t="s">
        <v>41</v>
      </c>
    </row>
    <row r="9" spans="1:24" ht="15" customHeight="1" x14ac:dyDescent="0.25">
      <c r="A9" s="5" t="s">
        <v>42</v>
      </c>
      <c r="B9" s="5" t="s">
        <v>29</v>
      </c>
      <c r="C9" s="4">
        <v>888317220</v>
      </c>
      <c r="D9" s="4">
        <v>925</v>
      </c>
      <c r="F9" s="5" t="s">
        <v>43</v>
      </c>
      <c r="G9" s="5" t="s">
        <v>15</v>
      </c>
      <c r="H9" s="4">
        <v>30925954</v>
      </c>
      <c r="I9" s="4">
        <v>46</v>
      </c>
      <c r="J9" s="4">
        <v>44807505</v>
      </c>
      <c r="K9" s="4">
        <v>61</v>
      </c>
      <c r="M9" s="5" t="s">
        <v>44</v>
      </c>
      <c r="N9" s="4">
        <v>120220006</v>
      </c>
      <c r="O9" s="4">
        <v>45936212</v>
      </c>
      <c r="P9" s="4">
        <v>72614865</v>
      </c>
      <c r="Q9" s="4">
        <v>79815211</v>
      </c>
      <c r="S9" s="5" t="s">
        <v>30</v>
      </c>
      <c r="T9" s="5" t="s">
        <v>21</v>
      </c>
      <c r="U9" s="4">
        <v>388</v>
      </c>
      <c r="W9" s="5" t="s">
        <v>45</v>
      </c>
      <c r="X9" s="5" t="s">
        <v>46</v>
      </c>
    </row>
    <row r="10" spans="1:24" ht="15" customHeight="1" x14ac:dyDescent="0.25">
      <c r="A10" s="5" t="s">
        <v>43</v>
      </c>
      <c r="B10" s="5" t="s">
        <v>15</v>
      </c>
      <c r="C10" s="4">
        <v>239427690</v>
      </c>
      <c r="D10" s="4">
        <v>239</v>
      </c>
      <c r="F10" s="5" t="s">
        <v>43</v>
      </c>
      <c r="G10" s="5" t="s">
        <v>19</v>
      </c>
      <c r="H10" s="4">
        <v>47769169</v>
      </c>
      <c r="I10" s="4">
        <v>54</v>
      </c>
      <c r="J10" s="4">
        <v>45952916</v>
      </c>
      <c r="K10" s="4">
        <v>73</v>
      </c>
      <c r="M10" s="5" t="s">
        <v>47</v>
      </c>
      <c r="N10" s="4">
        <v>45322581</v>
      </c>
      <c r="O10" s="4">
        <v>36313956</v>
      </c>
      <c r="P10" s="4">
        <v>58011850</v>
      </c>
      <c r="Q10" s="4">
        <v>196065987</v>
      </c>
      <c r="S10" s="5" t="s">
        <v>34</v>
      </c>
      <c r="T10" s="5" t="s">
        <v>2</v>
      </c>
      <c r="U10" s="4">
        <v>294736163</v>
      </c>
      <c r="W10" s="5" t="s">
        <v>48</v>
      </c>
      <c r="X10" s="5" t="s">
        <v>27</v>
      </c>
    </row>
    <row r="11" spans="1:24" ht="15" customHeight="1" x14ac:dyDescent="0.25">
      <c r="A11" s="5" t="s">
        <v>43</v>
      </c>
      <c r="B11" s="5" t="s">
        <v>19</v>
      </c>
      <c r="C11" s="4">
        <v>179920899</v>
      </c>
      <c r="D11" s="4">
        <v>213</v>
      </c>
      <c r="F11" s="5" t="s">
        <v>43</v>
      </c>
      <c r="G11" s="5" t="s">
        <v>24</v>
      </c>
      <c r="H11" s="4">
        <v>54494944</v>
      </c>
      <c r="I11" s="4">
        <v>47</v>
      </c>
      <c r="J11" s="4">
        <v>20540415</v>
      </c>
      <c r="K11" s="4">
        <v>29</v>
      </c>
      <c r="M11" s="5" t="s">
        <v>49</v>
      </c>
      <c r="N11" s="4">
        <v>68925794</v>
      </c>
      <c r="O11" s="4">
        <v>51972902</v>
      </c>
      <c r="P11" s="4">
        <v>108429837</v>
      </c>
      <c r="Q11" s="4">
        <v>63946057</v>
      </c>
      <c r="S11" s="5" t="s">
        <v>34</v>
      </c>
      <c r="T11" s="5" t="s">
        <v>21</v>
      </c>
      <c r="U11" s="4">
        <v>351</v>
      </c>
    </row>
    <row r="12" spans="1:24" ht="15" customHeight="1" x14ac:dyDescent="0.25">
      <c r="A12" s="5" t="s">
        <v>43</v>
      </c>
      <c r="B12" s="5" t="s">
        <v>24</v>
      </c>
      <c r="C12" s="4">
        <v>156373418</v>
      </c>
      <c r="D12" s="4">
        <v>179</v>
      </c>
      <c r="F12" s="5" t="s">
        <v>50</v>
      </c>
      <c r="G12" s="5" t="s">
        <v>15</v>
      </c>
      <c r="H12" s="4">
        <v>39639705</v>
      </c>
      <c r="I12" s="4">
        <v>70</v>
      </c>
      <c r="J12" s="4">
        <v>52031150</v>
      </c>
      <c r="K12" s="4">
        <v>52</v>
      </c>
      <c r="M12" s="5" t="s">
        <v>51</v>
      </c>
      <c r="N12" s="4">
        <v>169240066</v>
      </c>
      <c r="O12" s="4">
        <v>235025296</v>
      </c>
      <c r="P12" s="4">
        <v>140985660</v>
      </c>
      <c r="Q12" s="4">
        <v>127739819</v>
      </c>
      <c r="S12" s="5" t="s">
        <v>37</v>
      </c>
      <c r="T12" s="5" t="s">
        <v>2</v>
      </c>
      <c r="U12" s="4">
        <v>282984869</v>
      </c>
    </row>
    <row r="13" spans="1:24" ht="15" customHeight="1" x14ac:dyDescent="0.25">
      <c r="A13" s="5" t="s">
        <v>52</v>
      </c>
      <c r="B13" s="5" t="s">
        <v>29</v>
      </c>
      <c r="C13" s="4">
        <v>575722007</v>
      </c>
      <c r="D13" s="4">
        <v>631</v>
      </c>
      <c r="F13" s="5" t="s">
        <v>50</v>
      </c>
      <c r="G13" s="5" t="s">
        <v>19</v>
      </c>
      <c r="H13" s="4">
        <v>129731626</v>
      </c>
      <c r="I13" s="4">
        <v>130</v>
      </c>
      <c r="J13" s="4">
        <v>52111674</v>
      </c>
      <c r="K13" s="4">
        <v>57</v>
      </c>
      <c r="S13" s="5" t="s">
        <v>37</v>
      </c>
      <c r="T13" s="5" t="s">
        <v>21</v>
      </c>
      <c r="U13" s="4">
        <v>365</v>
      </c>
    </row>
    <row r="14" spans="1:24" ht="15" customHeight="1" x14ac:dyDescent="0.25">
      <c r="A14" s="5" t="s">
        <v>50</v>
      </c>
      <c r="B14" s="5" t="s">
        <v>15</v>
      </c>
      <c r="C14" s="4">
        <v>240771550</v>
      </c>
      <c r="D14" s="4">
        <v>322</v>
      </c>
      <c r="F14" s="5" t="s">
        <v>50</v>
      </c>
      <c r="G14" s="5" t="s">
        <v>24</v>
      </c>
      <c r="H14" s="4">
        <v>72185842</v>
      </c>
      <c r="I14" s="4">
        <v>96</v>
      </c>
      <c r="J14" s="4">
        <v>10354957</v>
      </c>
      <c r="K14" s="4">
        <v>17</v>
      </c>
      <c r="S14" s="5" t="s">
        <v>39</v>
      </c>
      <c r="T14" s="5" t="s">
        <v>2</v>
      </c>
      <c r="U14" s="4">
        <v>177621795</v>
      </c>
    </row>
    <row r="15" spans="1:24" ht="15" customHeight="1" x14ac:dyDescent="0.25">
      <c r="A15" s="5" t="s">
        <v>50</v>
      </c>
      <c r="B15" s="5" t="s">
        <v>19</v>
      </c>
      <c r="C15" s="4">
        <v>287859827</v>
      </c>
      <c r="D15" s="4">
        <v>312</v>
      </c>
      <c r="S15" s="5" t="s">
        <v>39</v>
      </c>
      <c r="T15" s="5" t="s">
        <v>21</v>
      </c>
      <c r="U15" s="4">
        <v>253</v>
      </c>
    </row>
    <row r="16" spans="1:24" ht="15" customHeight="1" x14ac:dyDescent="0.25">
      <c r="A16" s="5" t="s">
        <v>50</v>
      </c>
      <c r="B16" s="5" t="s">
        <v>24</v>
      </c>
      <c r="C16" s="4">
        <v>174695811</v>
      </c>
      <c r="D16" s="4">
        <v>232</v>
      </c>
      <c r="S16" s="5" t="s">
        <v>44</v>
      </c>
      <c r="T16" s="5" t="s">
        <v>2</v>
      </c>
      <c r="U16" s="4">
        <v>318586294</v>
      </c>
    </row>
    <row r="17" spans="1:21" ht="15" customHeight="1" x14ac:dyDescent="0.25">
      <c r="A17" s="5" t="s">
        <v>53</v>
      </c>
      <c r="B17" s="5" t="s">
        <v>29</v>
      </c>
      <c r="C17" s="4">
        <v>703327188</v>
      </c>
      <c r="D17" s="4">
        <v>866</v>
      </c>
      <c r="S17" s="5" t="s">
        <v>44</v>
      </c>
      <c r="T17" s="5" t="s">
        <v>21</v>
      </c>
      <c r="U17" s="4">
        <v>356</v>
      </c>
    </row>
    <row r="20" spans="1:21" ht="15" customHeight="1" x14ac:dyDescent="0.25"/>
    <row r="21" spans="1:21" ht="15" customHeight="1" x14ac:dyDescent="0.25"/>
    <row r="22" spans="1:21" ht="15" customHeight="1" x14ac:dyDescent="0.25"/>
    <row r="23" spans="1:21" ht="15" customHeight="1" x14ac:dyDescent="0.25"/>
    <row r="24" spans="1:21" ht="15" customHeight="1" x14ac:dyDescent="0.25"/>
    <row r="25" spans="1:21" ht="15" customHeight="1" x14ac:dyDescent="0.25"/>
    <row r="26" spans="1:21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zoomScaleNormal="100" workbookViewId="0">
      <selection activeCell="C17" sqref="C17"/>
    </sheetView>
  </sheetViews>
  <sheetFormatPr defaultColWidth="8.7109375" defaultRowHeight="15" x14ac:dyDescent="0.25"/>
  <cols>
    <col min="1" max="1" width="12" style="1" customWidth="1"/>
    <col min="2" max="2" width="4" style="1" customWidth="1"/>
    <col min="3" max="3" width="14" style="1" customWidth="1"/>
  </cols>
  <sheetData>
    <row r="1" spans="1:3" ht="15" customHeight="1" x14ac:dyDescent="0.25">
      <c r="A1" s="2" t="s">
        <v>54</v>
      </c>
      <c r="C1" s="2" t="s">
        <v>12</v>
      </c>
    </row>
    <row r="2" spans="1:3" ht="15" customHeight="1" x14ac:dyDescent="0.25">
      <c r="A2" s="3">
        <v>2011</v>
      </c>
      <c r="C2" s="5" t="s">
        <v>55</v>
      </c>
    </row>
    <row r="3" spans="1:3" ht="15" customHeight="1" x14ac:dyDescent="0.25">
      <c r="A3" s="3">
        <v>2012</v>
      </c>
      <c r="C3" s="5" t="s">
        <v>56</v>
      </c>
    </row>
    <row r="4" spans="1:3" ht="15" customHeight="1" x14ac:dyDescent="0.25">
      <c r="A4" s="3">
        <v>2013</v>
      </c>
      <c r="C4" s="5" t="s">
        <v>57</v>
      </c>
    </row>
    <row r="5" spans="1:3" ht="15" customHeight="1" x14ac:dyDescent="0.25">
      <c r="A5" s="3">
        <v>2014</v>
      </c>
      <c r="C5" s="5" t="s">
        <v>58</v>
      </c>
    </row>
    <row r="6" spans="1:3" ht="15" customHeight="1" x14ac:dyDescent="0.25">
      <c r="A6" s="3">
        <v>2015</v>
      </c>
      <c r="C6" s="5" t="s">
        <v>31</v>
      </c>
    </row>
    <row r="7" spans="1:3" ht="15" customHeight="1" x14ac:dyDescent="0.25">
      <c r="A7" s="3">
        <v>2016</v>
      </c>
      <c r="C7" s="5" t="s">
        <v>59</v>
      </c>
    </row>
    <row r="8" spans="1:3" ht="15" customHeight="1" x14ac:dyDescent="0.25">
      <c r="A8" s="3">
        <v>2017</v>
      </c>
      <c r="C8" s="5" t="s">
        <v>60</v>
      </c>
    </row>
    <row r="9" spans="1:3" ht="15" customHeight="1" x14ac:dyDescent="0.25">
      <c r="A9" s="3">
        <v>2018</v>
      </c>
      <c r="C9" s="5" t="s">
        <v>61</v>
      </c>
    </row>
    <row r="10" spans="1:3" ht="15" customHeight="1" x14ac:dyDescent="0.25">
      <c r="A10" s="3">
        <v>2019</v>
      </c>
      <c r="C10" s="5" t="s">
        <v>62</v>
      </c>
    </row>
    <row r="11" spans="1:3" ht="15" customHeight="1" x14ac:dyDescent="0.25">
      <c r="A11" s="3">
        <v>2020</v>
      </c>
      <c r="C11" s="5" t="s">
        <v>63</v>
      </c>
    </row>
    <row r="12" spans="1:3" ht="15" customHeight="1" x14ac:dyDescent="0.25">
      <c r="C12" s="5" t="s">
        <v>64</v>
      </c>
    </row>
    <row r="13" spans="1:3" ht="15" customHeight="1" x14ac:dyDescent="0.25">
      <c r="C13" s="5" t="s">
        <v>65</v>
      </c>
    </row>
    <row r="16" spans="1:3" ht="15" customHeight="1" x14ac:dyDescent="0.25"/>
    <row r="17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zoomScaleNormal="100" workbookViewId="0">
      <pane ySplit="4" topLeftCell="A5" activePane="bottomLeft" state="frozen"/>
      <selection pane="bottomLeft" activeCell="A18" sqref="A18"/>
    </sheetView>
  </sheetViews>
  <sheetFormatPr defaultColWidth="8.7109375" defaultRowHeight="15" x14ac:dyDescent="0.25"/>
  <cols>
    <col min="1" max="1" width="18" style="1" customWidth="1"/>
    <col min="2" max="2" width="14" style="1" customWidth="1"/>
    <col min="3" max="3" width="16" style="1" customWidth="1"/>
    <col min="4" max="4" width="14" style="1" customWidth="1"/>
  </cols>
  <sheetData>
    <row r="1" spans="1:6" ht="16.149999999999999" customHeight="1" x14ac:dyDescent="0.25">
      <c r="A1" s="12" t="s">
        <v>209</v>
      </c>
      <c r="B1" s="13"/>
      <c r="C1" s="13"/>
      <c r="D1" s="13"/>
      <c r="E1" s="13"/>
      <c r="F1" s="13"/>
    </row>
    <row r="2" spans="1:6" ht="15" customHeight="1" x14ac:dyDescent="0.25">
      <c r="A2" s="14"/>
      <c r="B2" s="13"/>
      <c r="C2" s="13"/>
      <c r="D2" s="13"/>
      <c r="E2" s="13"/>
      <c r="F2" s="13"/>
    </row>
    <row r="3" spans="1:6" x14ac:dyDescent="0.25">
      <c r="A3" s="13"/>
      <c r="B3" s="13"/>
      <c r="C3" s="13"/>
      <c r="D3" s="13"/>
      <c r="E3" s="13"/>
      <c r="F3" s="13"/>
    </row>
    <row r="4" spans="1:6" ht="15" customHeight="1" x14ac:dyDescent="0.25">
      <c r="A4" s="15" t="s">
        <v>0</v>
      </c>
      <c r="B4" s="15" t="s">
        <v>1</v>
      </c>
      <c r="C4" s="15" t="s">
        <v>66</v>
      </c>
      <c r="D4" s="15" t="s">
        <v>67</v>
      </c>
      <c r="E4" s="13"/>
      <c r="F4" s="13"/>
    </row>
    <row r="5" spans="1:6" ht="15" customHeight="1" x14ac:dyDescent="0.25">
      <c r="A5" s="16" t="s">
        <v>14</v>
      </c>
      <c r="B5" s="16" t="s">
        <v>15</v>
      </c>
      <c r="C5" s="17">
        <v>218606016</v>
      </c>
      <c r="D5" s="17">
        <v>241</v>
      </c>
      <c r="E5" s="13"/>
      <c r="F5" s="13"/>
    </row>
    <row r="6" spans="1:6" ht="15" customHeight="1" x14ac:dyDescent="0.25">
      <c r="A6" s="16" t="s">
        <v>14</v>
      </c>
      <c r="B6" s="16" t="s">
        <v>19</v>
      </c>
      <c r="C6" s="17">
        <v>238373698</v>
      </c>
      <c r="D6" s="17">
        <v>315</v>
      </c>
      <c r="E6" s="13"/>
      <c r="F6" s="13"/>
    </row>
    <row r="7" spans="1:6" ht="15" customHeight="1" x14ac:dyDescent="0.25">
      <c r="A7" s="16" t="s">
        <v>14</v>
      </c>
      <c r="B7" s="16" t="s">
        <v>24</v>
      </c>
      <c r="C7" s="17">
        <v>232728701</v>
      </c>
      <c r="D7" s="17">
        <v>222</v>
      </c>
      <c r="E7" s="13"/>
      <c r="F7" s="13"/>
    </row>
    <row r="8" spans="1:6" ht="15" customHeight="1" x14ac:dyDescent="0.25">
      <c r="A8" s="16" t="s">
        <v>33</v>
      </c>
      <c r="B8" s="16" t="s">
        <v>15</v>
      </c>
      <c r="C8" s="17">
        <v>378668372</v>
      </c>
      <c r="D8" s="17">
        <v>373</v>
      </c>
      <c r="E8" s="13"/>
      <c r="F8" s="13"/>
    </row>
    <row r="9" spans="1:6" ht="15" customHeight="1" x14ac:dyDescent="0.25">
      <c r="A9" s="16" t="s">
        <v>33</v>
      </c>
      <c r="B9" s="16" t="s">
        <v>19</v>
      </c>
      <c r="C9" s="17">
        <v>206221305</v>
      </c>
      <c r="D9" s="17">
        <v>201</v>
      </c>
      <c r="E9" s="13"/>
      <c r="F9" s="13"/>
    </row>
    <row r="10" spans="1:6" ht="15" customHeight="1" x14ac:dyDescent="0.25">
      <c r="A10" s="16" t="s">
        <v>33</v>
      </c>
      <c r="B10" s="16" t="s">
        <v>24</v>
      </c>
      <c r="C10" s="17">
        <v>303427543</v>
      </c>
      <c r="D10" s="17">
        <v>351</v>
      </c>
      <c r="E10" s="13"/>
      <c r="F10" s="13"/>
    </row>
    <row r="11" spans="1:6" ht="15" customHeight="1" x14ac:dyDescent="0.25">
      <c r="A11" s="16" t="s">
        <v>43</v>
      </c>
      <c r="B11" s="16" t="s">
        <v>15</v>
      </c>
      <c r="C11" s="17">
        <v>239427690</v>
      </c>
      <c r="D11" s="17">
        <v>239</v>
      </c>
      <c r="E11" s="13"/>
      <c r="F11" s="13"/>
    </row>
    <row r="12" spans="1:6" ht="15" customHeight="1" x14ac:dyDescent="0.25">
      <c r="A12" s="16" t="s">
        <v>43</v>
      </c>
      <c r="B12" s="16" t="s">
        <v>19</v>
      </c>
      <c r="C12" s="17">
        <v>179920899</v>
      </c>
      <c r="D12" s="17">
        <v>213</v>
      </c>
      <c r="E12" s="13"/>
      <c r="F12" s="13"/>
    </row>
    <row r="13" spans="1:6" ht="15" customHeight="1" x14ac:dyDescent="0.25">
      <c r="A13" s="16" t="s">
        <v>43</v>
      </c>
      <c r="B13" s="16" t="s">
        <v>24</v>
      </c>
      <c r="C13" s="17">
        <v>156373418</v>
      </c>
      <c r="D13" s="17">
        <v>179</v>
      </c>
      <c r="E13" s="13"/>
      <c r="F13" s="13"/>
    </row>
    <row r="14" spans="1:6" ht="15" customHeight="1" x14ac:dyDescent="0.25">
      <c r="A14" s="16" t="s">
        <v>50</v>
      </c>
      <c r="B14" s="16" t="s">
        <v>15</v>
      </c>
      <c r="C14" s="17">
        <v>240771550</v>
      </c>
      <c r="D14" s="17">
        <v>322</v>
      </c>
      <c r="E14" s="13"/>
      <c r="F14" s="13"/>
    </row>
    <row r="15" spans="1:6" ht="15" customHeight="1" x14ac:dyDescent="0.25">
      <c r="A15" s="16" t="s">
        <v>50</v>
      </c>
      <c r="B15" s="16" t="s">
        <v>19</v>
      </c>
      <c r="C15" s="17">
        <v>287859827</v>
      </c>
      <c r="D15" s="17">
        <v>312</v>
      </c>
      <c r="E15" s="13"/>
      <c r="F15" s="13"/>
    </row>
    <row r="16" spans="1:6" ht="15" customHeight="1" x14ac:dyDescent="0.25">
      <c r="A16" s="16" t="s">
        <v>50</v>
      </c>
      <c r="B16" s="16" t="s">
        <v>24</v>
      </c>
      <c r="C16" s="17">
        <v>174695811</v>
      </c>
      <c r="D16" s="17">
        <v>232</v>
      </c>
      <c r="E16" s="13"/>
      <c r="F16" s="13"/>
    </row>
    <row r="18" spans="1:5" ht="15" customHeight="1" x14ac:dyDescent="0.25">
      <c r="A18" s="18" t="s">
        <v>210</v>
      </c>
      <c r="B18" s="13"/>
      <c r="C18" s="13"/>
      <c r="D18" s="13"/>
      <c r="E18" s="13"/>
    </row>
    <row r="19" spans="1:5" ht="15" customHeight="1" x14ac:dyDescent="0.25">
      <c r="A19" s="19" t="s">
        <v>68</v>
      </c>
      <c r="B19" s="13"/>
      <c r="C19" s="13"/>
      <c r="D19" s="20">
        <f>SUM(C5:C16)</f>
        <v>2857074830</v>
      </c>
      <c r="E19" s="13"/>
    </row>
    <row r="20" spans="1:5" ht="15" customHeight="1" x14ac:dyDescent="0.25">
      <c r="A20" s="19" t="s">
        <v>69</v>
      </c>
      <c r="B20" s="13"/>
      <c r="C20" s="13"/>
      <c r="D20" s="20">
        <f>SUM(Источник_нетаблицы!C5,Источник_нетаблицы!C9,Источник_нетаблицы!C13,Источник_нетаблицы!C17)</f>
        <v>2857074830</v>
      </c>
      <c r="E20" s="13"/>
    </row>
    <row r="21" spans="1:5" ht="15" customHeight="1" x14ac:dyDescent="0.25">
      <c r="A21" s="19" t="s">
        <v>82</v>
      </c>
      <c r="B21" s="13"/>
      <c r="C21" s="13"/>
      <c r="D21" s="20">
        <f>D19-D20</f>
        <v>0</v>
      </c>
      <c r="E21" s="13"/>
    </row>
  </sheetData>
  <autoFilter ref="A4:D16"/>
  <pageMargins left="0.75" right="0.75" top="1" bottom="1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4"/>
  <sheetViews>
    <sheetView zoomScaleNormal="100" workbookViewId="0">
      <pane ySplit="4" topLeftCell="A5" activePane="bottomLeft" state="frozen"/>
      <selection pane="bottomLeft" activeCell="C17" sqref="C17"/>
    </sheetView>
  </sheetViews>
  <sheetFormatPr defaultColWidth="8.7109375" defaultRowHeight="15" x14ac:dyDescent="0.25"/>
  <cols>
    <col min="1" max="1" width="14" style="7" customWidth="1"/>
    <col min="2" max="2" width="20" style="7" customWidth="1"/>
    <col min="3" max="3" width="22" style="7" customWidth="1"/>
    <col min="4" max="4" width="8.7109375" style="7"/>
    <col min="5" max="5" width="60" style="7" customWidth="1"/>
    <col min="6" max="16384" width="8.7109375" style="7"/>
  </cols>
  <sheetData>
    <row r="1" spans="1:3" s="13" customFormat="1" ht="16.149999999999999" customHeight="1" x14ac:dyDescent="0.25">
      <c r="A1" s="12" t="s">
        <v>211</v>
      </c>
    </row>
    <row r="2" spans="1:3" ht="42" customHeight="1" x14ac:dyDescent="0.25">
      <c r="A2" s="23"/>
    </row>
    <row r="4" spans="1:3" ht="15" customHeight="1" x14ac:dyDescent="0.25">
      <c r="A4" s="9" t="s">
        <v>12</v>
      </c>
      <c r="B4" s="9" t="s">
        <v>70</v>
      </c>
      <c r="C4" s="9" t="s">
        <v>71</v>
      </c>
    </row>
    <row r="5" spans="1:3" ht="15" customHeight="1" x14ac:dyDescent="0.25">
      <c r="A5" s="10" t="s">
        <v>17</v>
      </c>
      <c r="B5" s="24">
        <v>13</v>
      </c>
      <c r="C5" s="11">
        <v>11</v>
      </c>
    </row>
    <row r="6" spans="1:3" ht="15" customHeight="1" x14ac:dyDescent="0.25">
      <c r="A6" s="10" t="s">
        <v>72</v>
      </c>
      <c r="B6" s="24">
        <v>15</v>
      </c>
      <c r="C6" s="11">
        <v>14</v>
      </c>
    </row>
    <row r="7" spans="1:3" ht="15" customHeight="1" x14ac:dyDescent="0.25">
      <c r="A7" s="10" t="s">
        <v>73</v>
      </c>
      <c r="B7" s="24">
        <v>15</v>
      </c>
      <c r="C7" s="11">
        <v>14</v>
      </c>
    </row>
    <row r="8" spans="1:3" ht="15" customHeight="1" x14ac:dyDescent="0.25">
      <c r="A8" s="10" t="s">
        <v>26</v>
      </c>
      <c r="B8" s="24">
        <v>14</v>
      </c>
      <c r="C8" s="11">
        <v>10</v>
      </c>
    </row>
    <row r="9" spans="1:3" ht="15" customHeight="1" x14ac:dyDescent="0.25">
      <c r="A9" s="10" t="s">
        <v>31</v>
      </c>
      <c r="B9" s="24">
        <v>1.1000000000000001</v>
      </c>
      <c r="C9" s="11">
        <v>10</v>
      </c>
    </row>
    <row r="10" spans="1:3" ht="15" customHeight="1" x14ac:dyDescent="0.25">
      <c r="A10" s="10" t="s">
        <v>74</v>
      </c>
      <c r="B10" s="24">
        <v>10</v>
      </c>
      <c r="C10" s="11">
        <v>13</v>
      </c>
    </row>
    <row r="11" spans="1:3" ht="15" customHeight="1" x14ac:dyDescent="0.25">
      <c r="A11" s="10" t="s">
        <v>75</v>
      </c>
      <c r="B11" s="24">
        <v>10</v>
      </c>
      <c r="C11" s="11">
        <v>13</v>
      </c>
    </row>
    <row r="12" spans="1:3" ht="15" customHeight="1" x14ac:dyDescent="0.25">
      <c r="A12" s="10" t="s">
        <v>76</v>
      </c>
      <c r="B12" s="24">
        <v>10</v>
      </c>
      <c r="C12" s="11">
        <v>13</v>
      </c>
    </row>
    <row r="13" spans="1:3" ht="15" customHeight="1" x14ac:dyDescent="0.25">
      <c r="A13" s="10" t="s">
        <v>38</v>
      </c>
      <c r="B13" s="24">
        <v>15</v>
      </c>
      <c r="C13" s="11">
        <v>14</v>
      </c>
    </row>
    <row r="14" spans="1:3" ht="15" customHeight="1" x14ac:dyDescent="0.25">
      <c r="A14" s="10" t="s">
        <v>40</v>
      </c>
      <c r="B14" s="24">
        <v>14</v>
      </c>
      <c r="C14" s="11">
        <v>15</v>
      </c>
    </row>
    <row r="15" spans="1:3" ht="15" customHeight="1" x14ac:dyDescent="0.25">
      <c r="A15" s="10" t="s">
        <v>45</v>
      </c>
      <c r="B15" s="24">
        <v>12</v>
      </c>
      <c r="C15" s="11">
        <v>12</v>
      </c>
    </row>
    <row r="16" spans="1:3" ht="15" customHeight="1" x14ac:dyDescent="0.25">
      <c r="A16" s="10" t="s">
        <v>48</v>
      </c>
      <c r="B16" s="24">
        <v>14</v>
      </c>
      <c r="C16" s="11">
        <v>10</v>
      </c>
    </row>
    <row r="18" spans="1:2" ht="15" customHeight="1" x14ac:dyDescent="0.25">
      <c r="A18" s="21"/>
    </row>
    <row r="19" spans="1:2" ht="15" customHeight="1" x14ac:dyDescent="0.25">
      <c r="A19" s="22"/>
      <c r="B19" s="21"/>
    </row>
    <row r="20" spans="1:2" ht="15" customHeight="1" x14ac:dyDescent="0.25">
      <c r="A20" s="22"/>
      <c r="B20" s="21"/>
    </row>
    <row r="21" spans="1:2" ht="15" customHeight="1" x14ac:dyDescent="0.25">
      <c r="A21" s="22"/>
      <c r="B21" s="21"/>
    </row>
    <row r="22" spans="1:2" ht="15" customHeight="1" x14ac:dyDescent="0.25">
      <c r="A22" s="22"/>
      <c r="B22" s="21"/>
    </row>
    <row r="24" spans="1:2" ht="15" customHeight="1" x14ac:dyDescent="0.25">
      <c r="A24" s="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4"/>
  <sheetViews>
    <sheetView zoomScaleNormal="100" workbookViewId="0">
      <pane ySplit="4" topLeftCell="A11" activePane="bottomLeft" state="frozen"/>
      <selection pane="bottomLeft" activeCell="D36" sqref="D36"/>
    </sheetView>
  </sheetViews>
  <sheetFormatPr defaultColWidth="8.7109375" defaultRowHeight="15" x14ac:dyDescent="0.25"/>
  <cols>
    <col min="1" max="1" width="18" style="7" customWidth="1"/>
    <col min="2" max="2" width="14" style="7" customWidth="1"/>
    <col min="3" max="3" width="8" style="7" customWidth="1"/>
    <col min="4" max="4" width="16" style="7" customWidth="1"/>
    <col min="5" max="5" width="14" style="7" customWidth="1"/>
    <col min="6" max="16384" width="8.7109375" style="7"/>
  </cols>
  <sheetData>
    <row r="1" spans="1:5" ht="16.149999999999999" customHeight="1" x14ac:dyDescent="0.25">
      <c r="A1" s="6" t="s">
        <v>77</v>
      </c>
    </row>
    <row r="2" spans="1:5" ht="42" customHeight="1" x14ac:dyDescent="0.25">
      <c r="A2" s="23"/>
    </row>
    <row r="4" spans="1:5" ht="15" customHeight="1" x14ac:dyDescent="0.25">
      <c r="A4" s="9" t="s">
        <v>0</v>
      </c>
      <c r="B4" s="9" t="s">
        <v>1</v>
      </c>
      <c r="C4" s="9" t="s">
        <v>78</v>
      </c>
      <c r="D4" s="9" t="s">
        <v>66</v>
      </c>
      <c r="E4" s="9" t="s">
        <v>67</v>
      </c>
    </row>
    <row r="5" spans="1:5" ht="15" customHeight="1" x14ac:dyDescent="0.25">
      <c r="A5" s="10" t="s">
        <v>14</v>
      </c>
      <c r="B5" s="10" t="s">
        <v>15</v>
      </c>
      <c r="C5" s="25">
        <v>2017</v>
      </c>
      <c r="D5" s="11">
        <v>55008560</v>
      </c>
      <c r="E5" s="11">
        <v>44</v>
      </c>
    </row>
    <row r="6" spans="1:5" ht="15" customHeight="1" x14ac:dyDescent="0.25">
      <c r="A6" s="10" t="s">
        <v>14</v>
      </c>
      <c r="B6" s="10" t="s">
        <v>15</v>
      </c>
      <c r="C6" s="25">
        <v>2018</v>
      </c>
      <c r="D6" s="11">
        <v>58842953</v>
      </c>
      <c r="E6" s="11">
        <v>52</v>
      </c>
    </row>
    <row r="7" spans="1:5" ht="15" customHeight="1" x14ac:dyDescent="0.25">
      <c r="A7" s="10" t="s">
        <v>14</v>
      </c>
      <c r="B7" s="10" t="s">
        <v>19</v>
      </c>
      <c r="C7" s="25">
        <v>2017</v>
      </c>
      <c r="D7" s="11">
        <v>55404792</v>
      </c>
      <c r="E7" s="11">
        <v>83</v>
      </c>
    </row>
    <row r="8" spans="1:5" ht="15" customHeight="1" x14ac:dyDescent="0.25">
      <c r="A8" s="10" t="s">
        <v>14</v>
      </c>
      <c r="B8" s="10" t="s">
        <v>19</v>
      </c>
      <c r="C8" s="25">
        <v>2018</v>
      </c>
      <c r="D8" s="11">
        <v>74386120</v>
      </c>
      <c r="E8" s="11">
        <v>82</v>
      </c>
    </row>
    <row r="9" spans="1:5" ht="15" customHeight="1" x14ac:dyDescent="0.25">
      <c r="A9" s="10" t="s">
        <v>14</v>
      </c>
      <c r="B9" s="10" t="s">
        <v>24</v>
      </c>
      <c r="C9" s="25">
        <v>2017</v>
      </c>
      <c r="D9" s="11">
        <v>81792128</v>
      </c>
      <c r="E9" s="11">
        <v>71</v>
      </c>
    </row>
    <row r="10" spans="1:5" ht="15" customHeight="1" x14ac:dyDescent="0.25">
      <c r="A10" s="10" t="s">
        <v>14</v>
      </c>
      <c r="B10" s="10" t="s">
        <v>24</v>
      </c>
      <c r="C10" s="25">
        <v>2018</v>
      </c>
      <c r="D10" s="11">
        <v>56260631</v>
      </c>
      <c r="E10" s="11">
        <v>59</v>
      </c>
    </row>
    <row r="11" spans="1:5" ht="15" customHeight="1" x14ac:dyDescent="0.25">
      <c r="A11" s="10" t="s">
        <v>33</v>
      </c>
      <c r="B11" s="10" t="s">
        <v>15</v>
      </c>
      <c r="C11" s="25">
        <v>2017</v>
      </c>
      <c r="D11" s="11">
        <v>131685018</v>
      </c>
      <c r="E11" s="11">
        <v>134</v>
      </c>
    </row>
    <row r="12" spans="1:5" ht="15" customHeight="1" x14ac:dyDescent="0.25">
      <c r="A12" s="10" t="s">
        <v>33</v>
      </c>
      <c r="B12" s="10" t="s">
        <v>15</v>
      </c>
      <c r="C12" s="25">
        <v>2018</v>
      </c>
      <c r="D12" s="11">
        <v>109811775</v>
      </c>
      <c r="E12" s="11">
        <v>103</v>
      </c>
    </row>
    <row r="13" spans="1:5" ht="15" customHeight="1" x14ac:dyDescent="0.25">
      <c r="A13" s="10" t="s">
        <v>33</v>
      </c>
      <c r="B13" s="10" t="s">
        <v>19</v>
      </c>
      <c r="C13" s="25">
        <v>2017</v>
      </c>
      <c r="D13" s="11">
        <v>6422235</v>
      </c>
      <c r="E13" s="11">
        <v>10</v>
      </c>
    </row>
    <row r="14" spans="1:5" ht="15" customHeight="1" x14ac:dyDescent="0.25">
      <c r="A14" s="10" t="s">
        <v>33</v>
      </c>
      <c r="B14" s="10" t="s">
        <v>19</v>
      </c>
      <c r="C14" s="25">
        <v>2018</v>
      </c>
      <c r="D14" s="11">
        <v>77060682</v>
      </c>
      <c r="E14" s="11">
        <v>66</v>
      </c>
    </row>
    <row r="15" spans="1:5" ht="15" customHeight="1" x14ac:dyDescent="0.25">
      <c r="A15" s="10" t="s">
        <v>33</v>
      </c>
      <c r="B15" s="10" t="s">
        <v>24</v>
      </c>
      <c r="C15" s="25">
        <v>2017</v>
      </c>
      <c r="D15" s="11">
        <v>37463965</v>
      </c>
      <c r="E15" s="11">
        <v>60</v>
      </c>
    </row>
    <row r="16" spans="1:5" ht="15" customHeight="1" x14ac:dyDescent="0.25">
      <c r="A16" s="10" t="s">
        <v>33</v>
      </c>
      <c r="B16" s="10" t="s">
        <v>24</v>
      </c>
      <c r="C16" s="25">
        <v>2018</v>
      </c>
      <c r="D16" s="11">
        <v>74292753</v>
      </c>
      <c r="E16" s="11">
        <v>93</v>
      </c>
    </row>
    <row r="17" spans="1:5" ht="15" customHeight="1" x14ac:dyDescent="0.25">
      <c r="A17" s="10" t="s">
        <v>43</v>
      </c>
      <c r="B17" s="10" t="s">
        <v>15</v>
      </c>
      <c r="C17" s="25">
        <v>2017</v>
      </c>
      <c r="D17" s="11">
        <v>30925954</v>
      </c>
      <c r="E17" s="11">
        <v>46</v>
      </c>
    </row>
    <row r="18" spans="1:5" ht="15" customHeight="1" x14ac:dyDescent="0.25">
      <c r="A18" s="10" t="s">
        <v>43</v>
      </c>
      <c r="B18" s="10" t="s">
        <v>15</v>
      </c>
      <c r="C18" s="25">
        <v>2018</v>
      </c>
      <c r="D18" s="11">
        <v>44807505</v>
      </c>
      <c r="E18" s="11">
        <v>61</v>
      </c>
    </row>
    <row r="19" spans="1:5" ht="15" customHeight="1" x14ac:dyDescent="0.25">
      <c r="A19" s="10" t="s">
        <v>43</v>
      </c>
      <c r="B19" s="10" t="s">
        <v>19</v>
      </c>
      <c r="C19" s="25">
        <v>2017</v>
      </c>
      <c r="D19" s="11">
        <v>47769169</v>
      </c>
      <c r="E19" s="11">
        <v>54</v>
      </c>
    </row>
    <row r="20" spans="1:5" ht="15" customHeight="1" x14ac:dyDescent="0.25">
      <c r="A20" s="10" t="s">
        <v>43</v>
      </c>
      <c r="B20" s="10" t="s">
        <v>19</v>
      </c>
      <c r="C20" s="25">
        <v>2018</v>
      </c>
      <c r="D20" s="11">
        <v>45952916</v>
      </c>
      <c r="E20" s="11">
        <v>73</v>
      </c>
    </row>
    <row r="21" spans="1:5" ht="15" customHeight="1" x14ac:dyDescent="0.25">
      <c r="A21" s="10" t="s">
        <v>43</v>
      </c>
      <c r="B21" s="10" t="s">
        <v>24</v>
      </c>
      <c r="C21" s="25">
        <v>2017</v>
      </c>
      <c r="D21" s="11">
        <v>54494944</v>
      </c>
      <c r="E21" s="11">
        <v>47</v>
      </c>
    </row>
    <row r="22" spans="1:5" ht="15" customHeight="1" x14ac:dyDescent="0.25">
      <c r="A22" s="10" t="s">
        <v>43</v>
      </c>
      <c r="B22" s="10" t="s">
        <v>24</v>
      </c>
      <c r="C22" s="25">
        <v>2018</v>
      </c>
      <c r="D22" s="11">
        <v>20540415</v>
      </c>
      <c r="E22" s="11">
        <v>29</v>
      </c>
    </row>
    <row r="23" spans="1:5" ht="15" customHeight="1" x14ac:dyDescent="0.25">
      <c r="A23" s="10" t="s">
        <v>50</v>
      </c>
      <c r="B23" s="10" t="s">
        <v>15</v>
      </c>
      <c r="C23" s="25">
        <v>2017</v>
      </c>
      <c r="D23" s="11">
        <v>39639705</v>
      </c>
      <c r="E23" s="11">
        <v>70</v>
      </c>
    </row>
    <row r="24" spans="1:5" ht="15" customHeight="1" x14ac:dyDescent="0.25">
      <c r="A24" s="10" t="s">
        <v>50</v>
      </c>
      <c r="B24" s="10" t="s">
        <v>15</v>
      </c>
      <c r="C24" s="25">
        <v>2018</v>
      </c>
      <c r="D24" s="11">
        <v>52031150</v>
      </c>
      <c r="E24" s="11">
        <v>52</v>
      </c>
    </row>
    <row r="25" spans="1:5" ht="15" customHeight="1" x14ac:dyDescent="0.25">
      <c r="A25" s="10" t="s">
        <v>50</v>
      </c>
      <c r="B25" s="10" t="s">
        <v>19</v>
      </c>
      <c r="C25" s="25">
        <v>2017</v>
      </c>
      <c r="D25" s="11">
        <v>129731626</v>
      </c>
      <c r="E25" s="11">
        <v>130</v>
      </c>
    </row>
    <row r="26" spans="1:5" ht="15" customHeight="1" x14ac:dyDescent="0.25">
      <c r="A26" s="10" t="s">
        <v>50</v>
      </c>
      <c r="B26" s="10" t="s">
        <v>19</v>
      </c>
      <c r="C26" s="25">
        <v>2018</v>
      </c>
      <c r="D26" s="11">
        <v>52111674</v>
      </c>
      <c r="E26" s="11">
        <v>57</v>
      </c>
    </row>
    <row r="27" spans="1:5" ht="15" customHeight="1" x14ac:dyDescent="0.25">
      <c r="A27" s="10" t="s">
        <v>50</v>
      </c>
      <c r="B27" s="10" t="s">
        <v>24</v>
      </c>
      <c r="C27" s="25">
        <v>2017</v>
      </c>
      <c r="D27" s="11">
        <v>72185842</v>
      </c>
      <c r="E27" s="11">
        <v>96</v>
      </c>
    </row>
    <row r="28" spans="1:5" ht="15" customHeight="1" x14ac:dyDescent="0.25">
      <c r="A28" s="10" t="s">
        <v>50</v>
      </c>
      <c r="B28" s="10" t="s">
        <v>24</v>
      </c>
      <c r="C28" s="25">
        <v>2018</v>
      </c>
      <c r="D28" s="11">
        <v>10354957</v>
      </c>
      <c r="E28" s="11">
        <v>17</v>
      </c>
    </row>
    <row r="30" spans="1:5" ht="15" customHeight="1" x14ac:dyDescent="0.25">
      <c r="A30" s="18" t="s">
        <v>210</v>
      </c>
    </row>
    <row r="31" spans="1:5" ht="15" customHeight="1" x14ac:dyDescent="0.25">
      <c r="A31" s="22" t="s">
        <v>79</v>
      </c>
      <c r="D31" s="26">
        <f>SUMIFS(D5:D28,C5:C28,2017)</f>
        <v>742523938</v>
      </c>
    </row>
    <row r="32" spans="1:5" ht="15" customHeight="1" x14ac:dyDescent="0.25">
      <c r="A32" s="19" t="s">
        <v>212</v>
      </c>
      <c r="D32" s="26">
        <f>SUM(Источник_нетаблицы!H3:H14)</f>
        <v>742523938</v>
      </c>
    </row>
    <row r="33" spans="1:4" ht="15" customHeight="1" x14ac:dyDescent="0.25">
      <c r="A33" s="22" t="s">
        <v>80</v>
      </c>
      <c r="D33" s="26">
        <f>SUMIFS(D5:D28,C5:C28,2018)</f>
        <v>676453531</v>
      </c>
    </row>
    <row r="34" spans="1:4" ht="15" customHeight="1" x14ac:dyDescent="0.25">
      <c r="A34" s="19" t="s">
        <v>213</v>
      </c>
      <c r="D34" s="26">
        <f>SUM(Источник_нетаблицы!J3:J14)</f>
        <v>676453531</v>
      </c>
    </row>
  </sheetData>
  <autoFilter ref="A4:E28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"/>
  <sheetViews>
    <sheetView zoomScaleNormal="100" workbookViewId="0">
      <pane ySplit="4" topLeftCell="A5" activePane="bottomLeft" state="frozen"/>
      <selection pane="bottomLeft" activeCell="E28" sqref="E28"/>
    </sheetView>
  </sheetViews>
  <sheetFormatPr defaultColWidth="8.7109375" defaultRowHeight="15" x14ac:dyDescent="0.25"/>
  <cols>
    <col min="1" max="1" width="16" style="7" customWidth="1"/>
    <col min="2" max="2" width="14" style="7" customWidth="1"/>
    <col min="3" max="3" width="16" style="7" customWidth="1"/>
    <col min="4" max="16384" width="8.7109375" style="7"/>
  </cols>
  <sheetData>
    <row r="1" spans="1:3" ht="16.149999999999999" customHeight="1" x14ac:dyDescent="0.25">
      <c r="A1" s="12" t="s">
        <v>214</v>
      </c>
    </row>
    <row r="2" spans="1:3" ht="15" customHeight="1" x14ac:dyDescent="0.25">
      <c r="A2" s="8"/>
    </row>
    <row r="4" spans="1:3" ht="15" customHeight="1" x14ac:dyDescent="0.25">
      <c r="A4" s="9" t="s">
        <v>5</v>
      </c>
      <c r="B4" s="9" t="s">
        <v>81</v>
      </c>
      <c r="C4" s="9" t="s">
        <v>66</v>
      </c>
    </row>
    <row r="5" spans="1:3" ht="15" customHeight="1" x14ac:dyDescent="0.25">
      <c r="A5" s="10" t="s">
        <v>16</v>
      </c>
      <c r="B5" s="10" t="s">
        <v>6</v>
      </c>
      <c r="C5" s="11">
        <v>77344814</v>
      </c>
    </row>
    <row r="6" spans="1:3" ht="15" customHeight="1" x14ac:dyDescent="0.25">
      <c r="A6" s="10" t="s">
        <v>16</v>
      </c>
      <c r="B6" s="10" t="s">
        <v>7</v>
      </c>
      <c r="C6" s="11">
        <v>36020950</v>
      </c>
    </row>
    <row r="7" spans="1:3" ht="15" customHeight="1" x14ac:dyDescent="0.25">
      <c r="A7" s="10" t="s">
        <v>16</v>
      </c>
      <c r="B7" s="10" t="s">
        <v>8</v>
      </c>
      <c r="C7" s="11">
        <v>92945563</v>
      </c>
    </row>
    <row r="8" spans="1:3" ht="15" customHeight="1" x14ac:dyDescent="0.25">
      <c r="A8" s="10" t="s">
        <v>16</v>
      </c>
      <c r="B8" s="10" t="s">
        <v>9</v>
      </c>
      <c r="C8" s="11">
        <v>97079704</v>
      </c>
    </row>
    <row r="9" spans="1:3" ht="15" customHeight="1" x14ac:dyDescent="0.25">
      <c r="A9" s="10" t="s">
        <v>20</v>
      </c>
      <c r="B9" s="10" t="s">
        <v>6</v>
      </c>
      <c r="C9" s="11">
        <v>68526537</v>
      </c>
    </row>
    <row r="10" spans="1:3" ht="15" customHeight="1" x14ac:dyDescent="0.25">
      <c r="A10" s="10" t="s">
        <v>20</v>
      </c>
      <c r="B10" s="10" t="s">
        <v>7</v>
      </c>
      <c r="C10" s="11">
        <v>88693054</v>
      </c>
    </row>
    <row r="11" spans="1:3" ht="15" customHeight="1" x14ac:dyDescent="0.25">
      <c r="A11" s="10" t="s">
        <v>20</v>
      </c>
      <c r="B11" s="10" t="s">
        <v>8</v>
      </c>
      <c r="C11" s="11">
        <v>38606045</v>
      </c>
    </row>
    <row r="12" spans="1:3" ht="15" customHeight="1" x14ac:dyDescent="0.25">
      <c r="A12" s="10" t="s">
        <v>20</v>
      </c>
      <c r="B12" s="10" t="s">
        <v>9</v>
      </c>
      <c r="C12" s="11">
        <v>78470629</v>
      </c>
    </row>
    <row r="13" spans="1:3" ht="15" customHeight="1" x14ac:dyDescent="0.25">
      <c r="A13" s="10" t="s">
        <v>25</v>
      </c>
      <c r="B13" s="10" t="s">
        <v>6</v>
      </c>
      <c r="C13" s="11">
        <v>79762016</v>
      </c>
    </row>
    <row r="14" spans="1:3" ht="15" customHeight="1" x14ac:dyDescent="0.25">
      <c r="A14" s="10" t="s">
        <v>25</v>
      </c>
      <c r="B14" s="10" t="s">
        <v>7</v>
      </c>
      <c r="C14" s="11">
        <v>66990500</v>
      </c>
    </row>
    <row r="15" spans="1:3" ht="15" customHeight="1" x14ac:dyDescent="0.25">
      <c r="A15" s="10" t="s">
        <v>25</v>
      </c>
      <c r="B15" s="10" t="s">
        <v>8</v>
      </c>
      <c r="C15" s="11">
        <v>71329109</v>
      </c>
    </row>
    <row r="16" spans="1:3" ht="15" customHeight="1" x14ac:dyDescent="0.25">
      <c r="A16" s="10" t="s">
        <v>25</v>
      </c>
      <c r="B16" s="10" t="s">
        <v>9</v>
      </c>
      <c r="C16" s="11">
        <v>63912904</v>
      </c>
    </row>
    <row r="17" spans="1:3" ht="15" customHeight="1" x14ac:dyDescent="0.25">
      <c r="A17" s="10" t="s">
        <v>30</v>
      </c>
      <c r="B17" s="10" t="s">
        <v>6</v>
      </c>
      <c r="C17" s="11">
        <v>127196858</v>
      </c>
    </row>
    <row r="18" spans="1:3" ht="15" customHeight="1" x14ac:dyDescent="0.25">
      <c r="A18" s="10" t="s">
        <v>30</v>
      </c>
      <c r="B18" s="10" t="s">
        <v>7</v>
      </c>
      <c r="C18" s="11">
        <v>82727695</v>
      </c>
    </row>
    <row r="19" spans="1:3" ht="15" customHeight="1" x14ac:dyDescent="0.25">
      <c r="A19" s="10" t="s">
        <v>30</v>
      </c>
      <c r="B19" s="10" t="s">
        <v>8</v>
      </c>
      <c r="C19" s="11">
        <v>59833589</v>
      </c>
    </row>
    <row r="20" spans="1:3" ht="15" customHeight="1" x14ac:dyDescent="0.25">
      <c r="A20" s="10" t="s">
        <v>30</v>
      </c>
      <c r="B20" s="10" t="s">
        <v>9</v>
      </c>
      <c r="C20" s="11">
        <v>104332427</v>
      </c>
    </row>
    <row r="21" spans="1:3" ht="15" customHeight="1" x14ac:dyDescent="0.25">
      <c r="A21" s="10" t="s">
        <v>34</v>
      </c>
      <c r="B21" s="10" t="s">
        <v>6</v>
      </c>
      <c r="C21" s="11">
        <v>52710398</v>
      </c>
    </row>
    <row r="22" spans="1:3" ht="15" customHeight="1" x14ac:dyDescent="0.25">
      <c r="A22" s="10" t="s">
        <v>34</v>
      </c>
      <c r="B22" s="10" t="s">
        <v>7</v>
      </c>
      <c r="C22" s="11">
        <v>67249634</v>
      </c>
    </row>
    <row r="23" spans="1:3" ht="15" customHeight="1" x14ac:dyDescent="0.25">
      <c r="A23" s="10" t="s">
        <v>34</v>
      </c>
      <c r="B23" s="10" t="s">
        <v>8</v>
      </c>
      <c r="C23" s="11">
        <v>111525281</v>
      </c>
    </row>
    <row r="24" spans="1:3" ht="15" customHeight="1" x14ac:dyDescent="0.25">
      <c r="A24" s="10" t="s">
        <v>34</v>
      </c>
      <c r="B24" s="10" t="s">
        <v>9</v>
      </c>
      <c r="C24" s="11">
        <v>63250850</v>
      </c>
    </row>
    <row r="25" spans="1:3" ht="15" customHeight="1" x14ac:dyDescent="0.25">
      <c r="A25" s="10" t="s">
        <v>37</v>
      </c>
      <c r="B25" s="10" t="s">
        <v>6</v>
      </c>
      <c r="C25" s="11">
        <v>70567776</v>
      </c>
    </row>
    <row r="26" spans="1:3" ht="15" customHeight="1" x14ac:dyDescent="0.25">
      <c r="A26" s="10" t="s">
        <v>37</v>
      </c>
      <c r="B26" s="10" t="s">
        <v>7</v>
      </c>
      <c r="C26" s="11">
        <v>67401782</v>
      </c>
    </row>
    <row r="27" spans="1:3" ht="15" customHeight="1" x14ac:dyDescent="0.25">
      <c r="A27" s="10" t="s">
        <v>37</v>
      </c>
      <c r="B27" s="10" t="s">
        <v>8</v>
      </c>
      <c r="C27" s="11">
        <v>72263380</v>
      </c>
    </row>
    <row r="28" spans="1:3" ht="15" customHeight="1" x14ac:dyDescent="0.25">
      <c r="A28" s="10" t="s">
        <v>37</v>
      </c>
      <c r="B28" s="10" t="s">
        <v>9</v>
      </c>
      <c r="C28" s="11">
        <v>72751931</v>
      </c>
    </row>
    <row r="29" spans="1:3" ht="15" customHeight="1" x14ac:dyDescent="0.25">
      <c r="A29" s="10" t="s">
        <v>39</v>
      </c>
      <c r="B29" s="10" t="s">
        <v>6</v>
      </c>
      <c r="C29" s="11">
        <v>47663654</v>
      </c>
    </row>
    <row r="30" spans="1:3" ht="15" customHeight="1" x14ac:dyDescent="0.25">
      <c r="A30" s="10" t="s">
        <v>39</v>
      </c>
      <c r="B30" s="10" t="s">
        <v>7</v>
      </c>
      <c r="C30" s="11">
        <v>29091273</v>
      </c>
    </row>
    <row r="31" spans="1:3" ht="15" customHeight="1" x14ac:dyDescent="0.25">
      <c r="A31" s="10" t="s">
        <v>39</v>
      </c>
      <c r="B31" s="10" t="s">
        <v>8</v>
      </c>
      <c r="C31" s="11">
        <v>48675088</v>
      </c>
    </row>
    <row r="32" spans="1:3" ht="15" customHeight="1" x14ac:dyDescent="0.25">
      <c r="A32" s="10" t="s">
        <v>39</v>
      </c>
      <c r="B32" s="10" t="s">
        <v>9</v>
      </c>
      <c r="C32" s="11">
        <v>52191780</v>
      </c>
    </row>
    <row r="33" spans="1:3" ht="15" customHeight="1" x14ac:dyDescent="0.25">
      <c r="A33" s="10" t="s">
        <v>44</v>
      </c>
      <c r="B33" s="10" t="s">
        <v>6</v>
      </c>
      <c r="C33" s="11">
        <v>120220006</v>
      </c>
    </row>
    <row r="34" spans="1:3" ht="15" customHeight="1" x14ac:dyDescent="0.25">
      <c r="A34" s="10" t="s">
        <v>44</v>
      </c>
      <c r="B34" s="10" t="s">
        <v>7</v>
      </c>
      <c r="C34" s="11">
        <v>45936212</v>
      </c>
    </row>
    <row r="35" spans="1:3" ht="15" customHeight="1" x14ac:dyDescent="0.25">
      <c r="A35" s="10" t="s">
        <v>44</v>
      </c>
      <c r="B35" s="10" t="s">
        <v>8</v>
      </c>
      <c r="C35" s="11">
        <v>72614865</v>
      </c>
    </row>
    <row r="36" spans="1:3" ht="15" customHeight="1" x14ac:dyDescent="0.25">
      <c r="A36" s="10" t="s">
        <v>44</v>
      </c>
      <c r="B36" s="10" t="s">
        <v>9</v>
      </c>
      <c r="C36" s="11">
        <v>79815211</v>
      </c>
    </row>
    <row r="37" spans="1:3" ht="15" customHeight="1" x14ac:dyDescent="0.25">
      <c r="A37" s="10" t="s">
        <v>47</v>
      </c>
      <c r="B37" s="10" t="s">
        <v>6</v>
      </c>
      <c r="C37" s="11">
        <v>45322581</v>
      </c>
    </row>
    <row r="38" spans="1:3" ht="15" customHeight="1" x14ac:dyDescent="0.25">
      <c r="A38" s="10" t="s">
        <v>47</v>
      </c>
      <c r="B38" s="10" t="s">
        <v>7</v>
      </c>
      <c r="C38" s="11">
        <v>36313956</v>
      </c>
    </row>
    <row r="39" spans="1:3" ht="15" customHeight="1" x14ac:dyDescent="0.25">
      <c r="A39" s="10" t="s">
        <v>47</v>
      </c>
      <c r="B39" s="10" t="s">
        <v>8</v>
      </c>
      <c r="C39" s="11">
        <v>58011850</v>
      </c>
    </row>
    <row r="40" spans="1:3" ht="15" customHeight="1" x14ac:dyDescent="0.25">
      <c r="A40" s="10" t="s">
        <v>47</v>
      </c>
      <c r="B40" s="10" t="s">
        <v>9</v>
      </c>
      <c r="C40" s="11">
        <v>196065987</v>
      </c>
    </row>
    <row r="41" spans="1:3" ht="15" customHeight="1" x14ac:dyDescent="0.25">
      <c r="A41" s="10" t="s">
        <v>49</v>
      </c>
      <c r="B41" s="10" t="s">
        <v>6</v>
      </c>
      <c r="C41" s="11">
        <v>68925794</v>
      </c>
    </row>
    <row r="42" spans="1:3" ht="15" customHeight="1" x14ac:dyDescent="0.25">
      <c r="A42" s="10" t="s">
        <v>49</v>
      </c>
      <c r="B42" s="10" t="s">
        <v>7</v>
      </c>
      <c r="C42" s="11">
        <v>51972902</v>
      </c>
    </row>
    <row r="43" spans="1:3" ht="15" customHeight="1" x14ac:dyDescent="0.25">
      <c r="A43" s="10" t="s">
        <v>49</v>
      </c>
      <c r="B43" s="10" t="s">
        <v>8</v>
      </c>
      <c r="C43" s="11">
        <v>108429837</v>
      </c>
    </row>
    <row r="44" spans="1:3" ht="15" customHeight="1" x14ac:dyDescent="0.25">
      <c r="A44" s="10" t="s">
        <v>49</v>
      </c>
      <c r="B44" s="10" t="s">
        <v>9</v>
      </c>
      <c r="C44" s="11">
        <v>63946057</v>
      </c>
    </row>
    <row r="45" spans="1:3" ht="15" customHeight="1" x14ac:dyDescent="0.25">
      <c r="A45" s="10" t="s">
        <v>51</v>
      </c>
      <c r="B45" s="10" t="s">
        <v>6</v>
      </c>
      <c r="C45" s="11">
        <v>169240066</v>
      </c>
    </row>
    <row r="46" spans="1:3" ht="15" customHeight="1" x14ac:dyDescent="0.25">
      <c r="A46" s="10" t="s">
        <v>51</v>
      </c>
      <c r="B46" s="10" t="s">
        <v>7</v>
      </c>
      <c r="C46" s="11">
        <v>235025296</v>
      </c>
    </row>
    <row r="47" spans="1:3" ht="15" customHeight="1" x14ac:dyDescent="0.25">
      <c r="A47" s="10" t="s">
        <v>51</v>
      </c>
      <c r="B47" s="10" t="s">
        <v>8</v>
      </c>
      <c r="C47" s="11">
        <v>140985660</v>
      </c>
    </row>
    <row r="48" spans="1:3" ht="15" customHeight="1" x14ac:dyDescent="0.25">
      <c r="A48" s="10" t="s">
        <v>51</v>
      </c>
      <c r="B48" s="10" t="s">
        <v>9</v>
      </c>
      <c r="C48" s="11">
        <v>127739819</v>
      </c>
    </row>
    <row r="50" spans="1:3" ht="15" customHeight="1" x14ac:dyDescent="0.25">
      <c r="A50" s="21"/>
      <c r="C50" s="21"/>
    </row>
    <row r="51" spans="1:3" ht="15" customHeight="1" x14ac:dyDescent="0.25">
      <c r="A51" s="22"/>
      <c r="C51" s="26"/>
    </row>
  </sheetData>
  <autoFilter ref="A4:C48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zoomScaleNormal="100" workbookViewId="0">
      <pane ySplit="4" topLeftCell="A5" activePane="bottomLeft" state="frozen"/>
      <selection pane="bottomLeft" activeCell="C21" sqref="C21"/>
    </sheetView>
  </sheetViews>
  <sheetFormatPr defaultColWidth="8.7109375" defaultRowHeight="15" x14ac:dyDescent="0.25"/>
  <cols>
    <col min="1" max="2" width="16" style="13" customWidth="1"/>
    <col min="3" max="3" width="12" style="13" customWidth="1"/>
    <col min="4" max="4" width="22" style="13" customWidth="1"/>
    <col min="5" max="5" width="14" style="13" customWidth="1"/>
    <col min="6" max="16384" width="8.7109375" style="13"/>
  </cols>
  <sheetData>
    <row r="1" spans="1:5" ht="16.149999999999999" customHeight="1" x14ac:dyDescent="0.25">
      <c r="A1" s="12" t="s">
        <v>215</v>
      </c>
    </row>
    <row r="2" spans="1:5" ht="15" customHeight="1" x14ac:dyDescent="0.25">
      <c r="A2" s="14"/>
    </row>
    <row r="4" spans="1:5" ht="23.85" customHeight="1" x14ac:dyDescent="0.25">
      <c r="A4" s="15" t="s">
        <v>5</v>
      </c>
      <c r="B4" s="15" t="s">
        <v>66</v>
      </c>
      <c r="C4" s="15" t="s">
        <v>21</v>
      </c>
      <c r="D4" s="15" t="s">
        <v>216</v>
      </c>
      <c r="E4" s="15" t="s">
        <v>82</v>
      </c>
    </row>
    <row r="5" spans="1:5" ht="15" customHeight="1" x14ac:dyDescent="0.25">
      <c r="A5" s="16" t="s">
        <v>16</v>
      </c>
      <c r="B5" s="17">
        <v>303391031</v>
      </c>
      <c r="C5" s="17">
        <v>349</v>
      </c>
      <c r="D5" s="27">
        <f>SUMIFS(Т4_Кварталы!$C$5:$C$48,Т4_Кварталы!$A$5:$A$48,$A5)</f>
        <v>303391031</v>
      </c>
      <c r="E5" s="27">
        <f t="shared" ref="E5:E12" si="0">B5-D5</f>
        <v>0</v>
      </c>
    </row>
    <row r="6" spans="1:5" ht="15" customHeight="1" x14ac:dyDescent="0.25">
      <c r="A6" s="16" t="s">
        <v>20</v>
      </c>
      <c r="B6" s="17">
        <v>274296265</v>
      </c>
      <c r="C6" s="17">
        <v>289</v>
      </c>
      <c r="D6" s="27">
        <f>SUMIFS(Т4_Кварталы!$C$5:$C$48,Т4_Кварталы!$A$5:$A$48,$A6)</f>
        <v>274296265</v>
      </c>
      <c r="E6" s="27">
        <f t="shared" si="0"/>
        <v>0</v>
      </c>
    </row>
    <row r="7" spans="1:5" ht="15" customHeight="1" x14ac:dyDescent="0.25">
      <c r="A7" s="16" t="s">
        <v>25</v>
      </c>
      <c r="B7" s="17">
        <v>281994529</v>
      </c>
      <c r="C7" s="17">
        <v>326</v>
      </c>
      <c r="D7" s="27">
        <f>SUMIFS(Т4_Кварталы!$C$5:$C$48,Т4_Кварталы!$A$5:$A$48,$A7)</f>
        <v>281994529</v>
      </c>
      <c r="E7" s="27">
        <f t="shared" si="0"/>
        <v>0</v>
      </c>
    </row>
    <row r="8" spans="1:5" ht="15" customHeight="1" x14ac:dyDescent="0.25">
      <c r="A8" s="16" t="s">
        <v>30</v>
      </c>
      <c r="B8" s="17">
        <v>374090569</v>
      </c>
      <c r="C8" s="17">
        <v>388</v>
      </c>
      <c r="D8" s="27">
        <f>SUMIFS(Т4_Кварталы!$C$5:$C$48,Т4_Кварталы!$A$5:$A$48,$A8)</f>
        <v>374090569</v>
      </c>
      <c r="E8" s="27">
        <f t="shared" si="0"/>
        <v>0</v>
      </c>
    </row>
    <row r="9" spans="1:5" ht="15" customHeight="1" x14ac:dyDescent="0.25">
      <c r="A9" s="16" t="s">
        <v>34</v>
      </c>
      <c r="B9" s="17">
        <v>294736163</v>
      </c>
      <c r="C9" s="17">
        <v>351</v>
      </c>
      <c r="D9" s="27">
        <f>SUMIFS(Т4_Кварталы!$C$5:$C$48,Т4_Кварталы!$A$5:$A$48,$A9)</f>
        <v>294736163</v>
      </c>
      <c r="E9" s="27">
        <f t="shared" si="0"/>
        <v>0</v>
      </c>
    </row>
    <row r="10" spans="1:5" ht="15" customHeight="1" x14ac:dyDescent="0.25">
      <c r="A10" s="16" t="s">
        <v>37</v>
      </c>
      <c r="B10" s="17">
        <v>282984869</v>
      </c>
      <c r="C10" s="17">
        <v>365</v>
      </c>
      <c r="D10" s="27">
        <f>SUMIFS(Т4_Кварталы!$C$5:$C$48,Т4_Кварталы!$A$5:$A$48,$A10)</f>
        <v>282984869</v>
      </c>
      <c r="E10" s="27">
        <f t="shared" si="0"/>
        <v>0</v>
      </c>
    </row>
    <row r="11" spans="1:5" ht="15" customHeight="1" x14ac:dyDescent="0.25">
      <c r="A11" s="16" t="s">
        <v>39</v>
      </c>
      <c r="B11" s="17">
        <v>177621795</v>
      </c>
      <c r="C11" s="17">
        <v>253</v>
      </c>
      <c r="D11" s="27">
        <f>SUMIFS(Т4_Кварталы!$C$5:$C$48,Т4_Кварталы!$A$5:$A$48,$A11)</f>
        <v>177621795</v>
      </c>
      <c r="E11" s="27">
        <f t="shared" si="0"/>
        <v>0</v>
      </c>
    </row>
    <row r="12" spans="1:5" ht="15" customHeight="1" x14ac:dyDescent="0.25">
      <c r="A12" s="16" t="s">
        <v>44</v>
      </c>
      <c r="B12" s="17">
        <v>318586294</v>
      </c>
      <c r="C12" s="17">
        <v>356</v>
      </c>
      <c r="D12" s="27">
        <f>SUMIFS(Т4_Кварталы!$C$5:$C$48,Т4_Кварталы!$A$5:$A$48,$A12)</f>
        <v>318586294</v>
      </c>
      <c r="E12" s="27">
        <f t="shared" si="0"/>
        <v>0</v>
      </c>
    </row>
    <row r="14" spans="1:5" ht="15" customHeight="1" x14ac:dyDescent="0.25">
      <c r="A14" s="18"/>
      <c r="B14" s="18"/>
    </row>
    <row r="15" spans="1:5" ht="15" customHeight="1" x14ac:dyDescent="0.25">
      <c r="A15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4"/>
  <sheetViews>
    <sheetView tabSelected="1" zoomScaleNormal="100" workbookViewId="0">
      <pane ySplit="4" topLeftCell="A5" activePane="bottomLeft" state="frozen"/>
      <selection pane="bottomLeft" activeCell="E14" sqref="E14"/>
    </sheetView>
  </sheetViews>
  <sheetFormatPr defaultColWidth="8.7109375" defaultRowHeight="15" x14ac:dyDescent="0.25"/>
  <cols>
    <col min="1" max="1" width="10" style="13" customWidth="1"/>
    <col min="2" max="2" width="14" style="13" customWidth="1"/>
    <col min="3" max="3" width="18" style="13" customWidth="1"/>
    <col min="4" max="4" width="8.7109375" style="13"/>
    <col min="5" max="5" width="46" style="13" customWidth="1"/>
    <col min="6" max="16384" width="8.7109375" style="13"/>
  </cols>
  <sheetData>
    <row r="1" spans="1:6" ht="16.149999999999999" customHeight="1" x14ac:dyDescent="0.25">
      <c r="A1" s="12" t="s">
        <v>217</v>
      </c>
    </row>
    <row r="2" spans="1:6" ht="42" customHeight="1" x14ac:dyDescent="0.25">
      <c r="A2" s="28"/>
    </row>
    <row r="4" spans="1:6" ht="15" customHeight="1" x14ac:dyDescent="0.25">
      <c r="A4" s="15" t="s">
        <v>78</v>
      </c>
      <c r="B4" s="15" t="s">
        <v>12</v>
      </c>
      <c r="C4" s="15" t="s">
        <v>83</v>
      </c>
      <c r="E4" s="18" t="s">
        <v>210</v>
      </c>
    </row>
    <row r="5" spans="1:6" ht="15" customHeight="1" x14ac:dyDescent="0.25">
      <c r="A5" s="29">
        <v>2011</v>
      </c>
      <c r="B5" s="16" t="s">
        <v>55</v>
      </c>
      <c r="C5" s="16" t="s">
        <v>84</v>
      </c>
      <c r="E5" s="19" t="s">
        <v>85</v>
      </c>
      <c r="F5" s="30">
        <f>COUNT(Источник_годы_месяцы!A2:A11)</f>
        <v>10</v>
      </c>
    </row>
    <row r="6" spans="1:6" ht="15" customHeight="1" x14ac:dyDescent="0.25">
      <c r="A6" s="29">
        <v>2011</v>
      </c>
      <c r="B6" s="16" t="s">
        <v>56</v>
      </c>
      <c r="C6" s="16" t="s">
        <v>86</v>
      </c>
      <c r="E6" s="19" t="s">
        <v>87</v>
      </c>
      <c r="F6" s="30">
        <f>COUNTA(Источник_годы_месяцы!C2:C13)</f>
        <v>12</v>
      </c>
    </row>
    <row r="7" spans="1:6" ht="15" customHeight="1" x14ac:dyDescent="0.25">
      <c r="A7" s="29">
        <v>2011</v>
      </c>
      <c r="B7" s="16" t="s">
        <v>57</v>
      </c>
      <c r="C7" s="16" t="s">
        <v>88</v>
      </c>
      <c r="E7" s="19" t="s">
        <v>89</v>
      </c>
      <c r="F7" s="30">
        <f>F5*F6</f>
        <v>120</v>
      </c>
    </row>
    <row r="8" spans="1:6" ht="15" customHeight="1" x14ac:dyDescent="0.25">
      <c r="A8" s="29">
        <v>2011</v>
      </c>
      <c r="B8" s="16" t="s">
        <v>58</v>
      </c>
      <c r="C8" s="16" t="s">
        <v>90</v>
      </c>
      <c r="E8" s="19" t="s">
        <v>91</v>
      </c>
      <c r="F8" s="30">
        <f>COUNTA(C5:C124)</f>
        <v>120</v>
      </c>
    </row>
    <row r="9" spans="1:6" ht="15" customHeight="1" x14ac:dyDescent="0.25">
      <c r="A9" s="29">
        <v>2011</v>
      </c>
      <c r="B9" s="16" t="s">
        <v>31</v>
      </c>
      <c r="C9" s="16" t="s">
        <v>92</v>
      </c>
      <c r="E9" s="19" t="s">
        <v>93</v>
      </c>
      <c r="F9" s="30">
        <f>SUMPRODUCT(1/COUNTIF(C5:C124,C5:C124))</f>
        <v>120</v>
      </c>
    </row>
    <row r="10" spans="1:6" ht="15" customHeight="1" x14ac:dyDescent="0.25">
      <c r="A10" s="29">
        <v>2011</v>
      </c>
      <c r="B10" s="16" t="s">
        <v>59</v>
      </c>
      <c r="C10" s="16" t="s">
        <v>94</v>
      </c>
    </row>
    <row r="11" spans="1:6" ht="15" customHeight="1" x14ac:dyDescent="0.25">
      <c r="A11" s="29">
        <v>2011</v>
      </c>
      <c r="B11" s="16" t="s">
        <v>60</v>
      </c>
      <c r="C11" s="16" t="s">
        <v>95</v>
      </c>
      <c r="E11" s="18"/>
      <c r="F11" s="18"/>
    </row>
    <row r="12" spans="1:6" ht="15" customHeight="1" x14ac:dyDescent="0.25">
      <c r="A12" s="29">
        <v>2011</v>
      </c>
      <c r="B12" s="16" t="s">
        <v>61</v>
      </c>
      <c r="C12" s="16" t="s">
        <v>96</v>
      </c>
    </row>
    <row r="13" spans="1:6" ht="15" customHeight="1" x14ac:dyDescent="0.25">
      <c r="A13" s="29">
        <v>2011</v>
      </c>
      <c r="B13" s="16" t="s">
        <v>62</v>
      </c>
      <c r="C13" s="16" t="s">
        <v>97</v>
      </c>
    </row>
    <row r="14" spans="1:6" ht="15" customHeight="1" x14ac:dyDescent="0.25">
      <c r="A14" s="29">
        <v>2011</v>
      </c>
      <c r="B14" s="16" t="s">
        <v>63</v>
      </c>
      <c r="C14" s="16" t="s">
        <v>98</v>
      </c>
    </row>
    <row r="15" spans="1:6" ht="15" customHeight="1" x14ac:dyDescent="0.25">
      <c r="A15" s="29">
        <v>2011</v>
      </c>
      <c r="B15" s="16" t="s">
        <v>64</v>
      </c>
      <c r="C15" s="16" t="s">
        <v>99</v>
      </c>
    </row>
    <row r="16" spans="1:6" ht="15" customHeight="1" x14ac:dyDescent="0.25">
      <c r="A16" s="29">
        <v>2011</v>
      </c>
      <c r="B16" s="16" t="s">
        <v>65</v>
      </c>
      <c r="C16" s="16" t="s">
        <v>100</v>
      </c>
    </row>
    <row r="17" spans="1:3" ht="15" customHeight="1" x14ac:dyDescent="0.25">
      <c r="A17" s="29">
        <v>2012</v>
      </c>
      <c r="B17" s="16" t="s">
        <v>55</v>
      </c>
      <c r="C17" s="16" t="s">
        <v>101</v>
      </c>
    </row>
    <row r="18" spans="1:3" ht="15" customHeight="1" x14ac:dyDescent="0.25">
      <c r="A18" s="29">
        <v>2012</v>
      </c>
      <c r="B18" s="16" t="s">
        <v>56</v>
      </c>
      <c r="C18" s="16" t="s">
        <v>102</v>
      </c>
    </row>
    <row r="19" spans="1:3" ht="15" customHeight="1" x14ac:dyDescent="0.25">
      <c r="A19" s="29">
        <v>2012</v>
      </c>
      <c r="B19" s="16" t="s">
        <v>57</v>
      </c>
      <c r="C19" s="16" t="s">
        <v>103</v>
      </c>
    </row>
    <row r="20" spans="1:3" ht="15" customHeight="1" x14ac:dyDescent="0.25">
      <c r="A20" s="29">
        <v>2012</v>
      </c>
      <c r="B20" s="16" t="s">
        <v>58</v>
      </c>
      <c r="C20" s="16" t="s">
        <v>104</v>
      </c>
    </row>
    <row r="21" spans="1:3" ht="15" customHeight="1" x14ac:dyDescent="0.25">
      <c r="A21" s="29">
        <v>2012</v>
      </c>
      <c r="B21" s="16" t="s">
        <v>31</v>
      </c>
      <c r="C21" s="16" t="s">
        <v>105</v>
      </c>
    </row>
    <row r="22" spans="1:3" ht="15" customHeight="1" x14ac:dyDescent="0.25">
      <c r="A22" s="29">
        <v>2012</v>
      </c>
      <c r="B22" s="16" t="s">
        <v>59</v>
      </c>
      <c r="C22" s="16" t="s">
        <v>106</v>
      </c>
    </row>
    <row r="23" spans="1:3" ht="15" customHeight="1" x14ac:dyDescent="0.25">
      <c r="A23" s="29">
        <v>2012</v>
      </c>
      <c r="B23" s="16" t="s">
        <v>60</v>
      </c>
      <c r="C23" s="16" t="s">
        <v>107</v>
      </c>
    </row>
    <row r="24" spans="1:3" ht="15" customHeight="1" x14ac:dyDescent="0.25">
      <c r="A24" s="29">
        <v>2012</v>
      </c>
      <c r="B24" s="16" t="s">
        <v>61</v>
      </c>
      <c r="C24" s="16" t="s">
        <v>108</v>
      </c>
    </row>
    <row r="25" spans="1:3" ht="15" customHeight="1" x14ac:dyDescent="0.25">
      <c r="A25" s="29">
        <v>2012</v>
      </c>
      <c r="B25" s="16" t="s">
        <v>62</v>
      </c>
      <c r="C25" s="16" t="s">
        <v>109</v>
      </c>
    </row>
    <row r="26" spans="1:3" ht="15" customHeight="1" x14ac:dyDescent="0.25">
      <c r="A26" s="29">
        <v>2012</v>
      </c>
      <c r="B26" s="16" t="s">
        <v>63</v>
      </c>
      <c r="C26" s="16" t="s">
        <v>110</v>
      </c>
    </row>
    <row r="27" spans="1:3" ht="15" customHeight="1" x14ac:dyDescent="0.25">
      <c r="A27" s="29">
        <v>2012</v>
      </c>
      <c r="B27" s="16" t="s">
        <v>64</v>
      </c>
      <c r="C27" s="16" t="s">
        <v>111</v>
      </c>
    </row>
    <row r="28" spans="1:3" ht="15" customHeight="1" x14ac:dyDescent="0.25">
      <c r="A28" s="29">
        <v>2012</v>
      </c>
      <c r="B28" s="16" t="s">
        <v>65</v>
      </c>
      <c r="C28" s="16" t="s">
        <v>112</v>
      </c>
    </row>
    <row r="29" spans="1:3" ht="15" customHeight="1" x14ac:dyDescent="0.25">
      <c r="A29" s="29">
        <v>2013</v>
      </c>
      <c r="B29" s="16" t="s">
        <v>55</v>
      </c>
      <c r="C29" s="16" t="s">
        <v>113</v>
      </c>
    </row>
    <row r="30" spans="1:3" ht="15" customHeight="1" x14ac:dyDescent="0.25">
      <c r="A30" s="29">
        <v>2013</v>
      </c>
      <c r="B30" s="16" t="s">
        <v>56</v>
      </c>
      <c r="C30" s="16" t="s">
        <v>114</v>
      </c>
    </row>
    <row r="31" spans="1:3" ht="15" customHeight="1" x14ac:dyDescent="0.25">
      <c r="A31" s="29">
        <v>2013</v>
      </c>
      <c r="B31" s="16" t="s">
        <v>57</v>
      </c>
      <c r="C31" s="16" t="s">
        <v>115</v>
      </c>
    </row>
    <row r="32" spans="1:3" ht="15" customHeight="1" x14ac:dyDescent="0.25">
      <c r="A32" s="29">
        <v>2013</v>
      </c>
      <c r="B32" s="16" t="s">
        <v>58</v>
      </c>
      <c r="C32" s="16" t="s">
        <v>116</v>
      </c>
    </row>
    <row r="33" spans="1:3" ht="15" customHeight="1" x14ac:dyDescent="0.25">
      <c r="A33" s="29">
        <v>2013</v>
      </c>
      <c r="B33" s="16" t="s">
        <v>31</v>
      </c>
      <c r="C33" s="16" t="s">
        <v>117</v>
      </c>
    </row>
    <row r="34" spans="1:3" ht="15" customHeight="1" x14ac:dyDescent="0.25">
      <c r="A34" s="29">
        <v>2013</v>
      </c>
      <c r="B34" s="16" t="s">
        <v>59</v>
      </c>
      <c r="C34" s="16" t="s">
        <v>118</v>
      </c>
    </row>
    <row r="35" spans="1:3" ht="15" customHeight="1" x14ac:dyDescent="0.25">
      <c r="A35" s="29">
        <v>2013</v>
      </c>
      <c r="B35" s="16" t="s">
        <v>60</v>
      </c>
      <c r="C35" s="16" t="s">
        <v>119</v>
      </c>
    </row>
    <row r="36" spans="1:3" ht="15" customHeight="1" x14ac:dyDescent="0.25">
      <c r="A36" s="29">
        <v>2013</v>
      </c>
      <c r="B36" s="16" t="s">
        <v>61</v>
      </c>
      <c r="C36" s="16" t="s">
        <v>120</v>
      </c>
    </row>
    <row r="37" spans="1:3" ht="15" customHeight="1" x14ac:dyDescent="0.25">
      <c r="A37" s="29">
        <v>2013</v>
      </c>
      <c r="B37" s="16" t="s">
        <v>62</v>
      </c>
      <c r="C37" s="16" t="s">
        <v>121</v>
      </c>
    </row>
    <row r="38" spans="1:3" ht="15" customHeight="1" x14ac:dyDescent="0.25">
      <c r="A38" s="29">
        <v>2013</v>
      </c>
      <c r="B38" s="16" t="s">
        <v>63</v>
      </c>
      <c r="C38" s="16" t="s">
        <v>122</v>
      </c>
    </row>
    <row r="39" spans="1:3" ht="15" customHeight="1" x14ac:dyDescent="0.25">
      <c r="A39" s="29">
        <v>2013</v>
      </c>
      <c r="B39" s="16" t="s">
        <v>64</v>
      </c>
      <c r="C39" s="16" t="s">
        <v>123</v>
      </c>
    </row>
    <row r="40" spans="1:3" ht="15" customHeight="1" x14ac:dyDescent="0.25">
      <c r="A40" s="29">
        <v>2013</v>
      </c>
      <c r="B40" s="16" t="s">
        <v>65</v>
      </c>
      <c r="C40" s="16" t="s">
        <v>124</v>
      </c>
    </row>
    <row r="41" spans="1:3" ht="15" customHeight="1" x14ac:dyDescent="0.25">
      <c r="A41" s="29">
        <v>2014</v>
      </c>
      <c r="B41" s="16" t="s">
        <v>55</v>
      </c>
      <c r="C41" s="16" t="s">
        <v>125</v>
      </c>
    </row>
    <row r="42" spans="1:3" ht="15" customHeight="1" x14ac:dyDescent="0.25">
      <c r="A42" s="29">
        <v>2014</v>
      </c>
      <c r="B42" s="16" t="s">
        <v>56</v>
      </c>
      <c r="C42" s="16" t="s">
        <v>126</v>
      </c>
    </row>
    <row r="43" spans="1:3" ht="15" customHeight="1" x14ac:dyDescent="0.25">
      <c r="A43" s="29">
        <v>2014</v>
      </c>
      <c r="B43" s="16" t="s">
        <v>57</v>
      </c>
      <c r="C43" s="16" t="s">
        <v>127</v>
      </c>
    </row>
    <row r="44" spans="1:3" ht="15" customHeight="1" x14ac:dyDescent="0.25">
      <c r="A44" s="29">
        <v>2014</v>
      </c>
      <c r="B44" s="16" t="s">
        <v>58</v>
      </c>
      <c r="C44" s="16" t="s">
        <v>128</v>
      </c>
    </row>
    <row r="45" spans="1:3" ht="15" customHeight="1" x14ac:dyDescent="0.25">
      <c r="A45" s="29">
        <v>2014</v>
      </c>
      <c r="B45" s="16" t="s">
        <v>31</v>
      </c>
      <c r="C45" s="16" t="s">
        <v>129</v>
      </c>
    </row>
    <row r="46" spans="1:3" ht="15" customHeight="1" x14ac:dyDescent="0.25">
      <c r="A46" s="29">
        <v>2014</v>
      </c>
      <c r="B46" s="16" t="s">
        <v>59</v>
      </c>
      <c r="C46" s="16" t="s">
        <v>130</v>
      </c>
    </row>
    <row r="47" spans="1:3" ht="15" customHeight="1" x14ac:dyDescent="0.25">
      <c r="A47" s="29">
        <v>2014</v>
      </c>
      <c r="B47" s="16" t="s">
        <v>60</v>
      </c>
      <c r="C47" s="16" t="s">
        <v>131</v>
      </c>
    </row>
    <row r="48" spans="1:3" ht="15" customHeight="1" x14ac:dyDescent="0.25">
      <c r="A48" s="29">
        <v>2014</v>
      </c>
      <c r="B48" s="16" t="s">
        <v>61</v>
      </c>
      <c r="C48" s="16" t="s">
        <v>132</v>
      </c>
    </row>
    <row r="49" spans="1:3" ht="15" customHeight="1" x14ac:dyDescent="0.25">
      <c r="A49" s="29">
        <v>2014</v>
      </c>
      <c r="B49" s="16" t="s">
        <v>62</v>
      </c>
      <c r="C49" s="16" t="s">
        <v>133</v>
      </c>
    </row>
    <row r="50" spans="1:3" ht="15" customHeight="1" x14ac:dyDescent="0.25">
      <c r="A50" s="29">
        <v>2014</v>
      </c>
      <c r="B50" s="16" t="s">
        <v>63</v>
      </c>
      <c r="C50" s="16" t="s">
        <v>134</v>
      </c>
    </row>
    <row r="51" spans="1:3" ht="15" customHeight="1" x14ac:dyDescent="0.25">
      <c r="A51" s="29">
        <v>2014</v>
      </c>
      <c r="B51" s="16" t="s">
        <v>64</v>
      </c>
      <c r="C51" s="16" t="s">
        <v>135</v>
      </c>
    </row>
    <row r="52" spans="1:3" ht="15" customHeight="1" x14ac:dyDescent="0.25">
      <c r="A52" s="29">
        <v>2014</v>
      </c>
      <c r="B52" s="16" t="s">
        <v>65</v>
      </c>
      <c r="C52" s="16" t="s">
        <v>136</v>
      </c>
    </row>
    <row r="53" spans="1:3" ht="15" customHeight="1" x14ac:dyDescent="0.25">
      <c r="A53" s="29">
        <v>2015</v>
      </c>
      <c r="B53" s="16" t="s">
        <v>55</v>
      </c>
      <c r="C53" s="16" t="s">
        <v>137</v>
      </c>
    </row>
    <row r="54" spans="1:3" ht="15" customHeight="1" x14ac:dyDescent="0.25">
      <c r="A54" s="29">
        <v>2015</v>
      </c>
      <c r="B54" s="16" t="s">
        <v>56</v>
      </c>
      <c r="C54" s="16" t="s">
        <v>138</v>
      </c>
    </row>
    <row r="55" spans="1:3" ht="15" customHeight="1" x14ac:dyDescent="0.25">
      <c r="A55" s="29">
        <v>2015</v>
      </c>
      <c r="B55" s="16" t="s">
        <v>57</v>
      </c>
      <c r="C55" s="16" t="s">
        <v>139</v>
      </c>
    </row>
    <row r="56" spans="1:3" ht="15" customHeight="1" x14ac:dyDescent="0.25">
      <c r="A56" s="29">
        <v>2015</v>
      </c>
      <c r="B56" s="16" t="s">
        <v>58</v>
      </c>
      <c r="C56" s="16" t="s">
        <v>140</v>
      </c>
    </row>
    <row r="57" spans="1:3" ht="15" customHeight="1" x14ac:dyDescent="0.25">
      <c r="A57" s="29">
        <v>2015</v>
      </c>
      <c r="B57" s="16" t="s">
        <v>31</v>
      </c>
      <c r="C57" s="16" t="s">
        <v>141</v>
      </c>
    </row>
    <row r="58" spans="1:3" ht="15" customHeight="1" x14ac:dyDescent="0.25">
      <c r="A58" s="29">
        <v>2015</v>
      </c>
      <c r="B58" s="16" t="s">
        <v>59</v>
      </c>
      <c r="C58" s="16" t="s">
        <v>142</v>
      </c>
    </row>
    <row r="59" spans="1:3" ht="15" customHeight="1" x14ac:dyDescent="0.25">
      <c r="A59" s="29">
        <v>2015</v>
      </c>
      <c r="B59" s="16" t="s">
        <v>60</v>
      </c>
      <c r="C59" s="16" t="s">
        <v>143</v>
      </c>
    </row>
    <row r="60" spans="1:3" ht="15" customHeight="1" x14ac:dyDescent="0.25">
      <c r="A60" s="29">
        <v>2015</v>
      </c>
      <c r="B60" s="16" t="s">
        <v>61</v>
      </c>
      <c r="C60" s="16" t="s">
        <v>144</v>
      </c>
    </row>
    <row r="61" spans="1:3" ht="15" customHeight="1" x14ac:dyDescent="0.25">
      <c r="A61" s="29">
        <v>2015</v>
      </c>
      <c r="B61" s="16" t="s">
        <v>62</v>
      </c>
      <c r="C61" s="16" t="s">
        <v>145</v>
      </c>
    </row>
    <row r="62" spans="1:3" ht="15" customHeight="1" x14ac:dyDescent="0.25">
      <c r="A62" s="29">
        <v>2015</v>
      </c>
      <c r="B62" s="16" t="s">
        <v>63</v>
      </c>
      <c r="C62" s="16" t="s">
        <v>146</v>
      </c>
    </row>
    <row r="63" spans="1:3" ht="15" customHeight="1" x14ac:dyDescent="0.25">
      <c r="A63" s="29">
        <v>2015</v>
      </c>
      <c r="B63" s="16" t="s">
        <v>64</v>
      </c>
      <c r="C63" s="16" t="s">
        <v>147</v>
      </c>
    </row>
    <row r="64" spans="1:3" ht="15" customHeight="1" x14ac:dyDescent="0.25">
      <c r="A64" s="29">
        <v>2015</v>
      </c>
      <c r="B64" s="16" t="s">
        <v>65</v>
      </c>
      <c r="C64" s="16" t="s">
        <v>148</v>
      </c>
    </row>
    <row r="65" spans="1:3" ht="15" customHeight="1" x14ac:dyDescent="0.25">
      <c r="A65" s="29">
        <v>2016</v>
      </c>
      <c r="B65" s="16" t="s">
        <v>55</v>
      </c>
      <c r="C65" s="16" t="s">
        <v>149</v>
      </c>
    </row>
    <row r="66" spans="1:3" ht="15" customHeight="1" x14ac:dyDescent="0.25">
      <c r="A66" s="29">
        <v>2016</v>
      </c>
      <c r="B66" s="16" t="s">
        <v>56</v>
      </c>
      <c r="C66" s="16" t="s">
        <v>150</v>
      </c>
    </row>
    <row r="67" spans="1:3" ht="15" customHeight="1" x14ac:dyDescent="0.25">
      <c r="A67" s="29">
        <v>2016</v>
      </c>
      <c r="B67" s="16" t="s">
        <v>57</v>
      </c>
      <c r="C67" s="16" t="s">
        <v>151</v>
      </c>
    </row>
    <row r="68" spans="1:3" ht="15" customHeight="1" x14ac:dyDescent="0.25">
      <c r="A68" s="29">
        <v>2016</v>
      </c>
      <c r="B68" s="16" t="s">
        <v>58</v>
      </c>
      <c r="C68" s="16" t="s">
        <v>152</v>
      </c>
    </row>
    <row r="69" spans="1:3" ht="15" customHeight="1" x14ac:dyDescent="0.25">
      <c r="A69" s="29">
        <v>2016</v>
      </c>
      <c r="B69" s="16" t="s">
        <v>31</v>
      </c>
      <c r="C69" s="16" t="s">
        <v>153</v>
      </c>
    </row>
    <row r="70" spans="1:3" ht="15" customHeight="1" x14ac:dyDescent="0.25">
      <c r="A70" s="29">
        <v>2016</v>
      </c>
      <c r="B70" s="16" t="s">
        <v>59</v>
      </c>
      <c r="C70" s="16" t="s">
        <v>154</v>
      </c>
    </row>
    <row r="71" spans="1:3" ht="15" customHeight="1" x14ac:dyDescent="0.25">
      <c r="A71" s="29">
        <v>2016</v>
      </c>
      <c r="B71" s="16" t="s">
        <v>60</v>
      </c>
      <c r="C71" s="16" t="s">
        <v>155</v>
      </c>
    </row>
    <row r="72" spans="1:3" ht="15" customHeight="1" x14ac:dyDescent="0.25">
      <c r="A72" s="29">
        <v>2016</v>
      </c>
      <c r="B72" s="16" t="s">
        <v>61</v>
      </c>
      <c r="C72" s="16" t="s">
        <v>156</v>
      </c>
    </row>
    <row r="73" spans="1:3" ht="15" customHeight="1" x14ac:dyDescent="0.25">
      <c r="A73" s="29">
        <v>2016</v>
      </c>
      <c r="B73" s="16" t="s">
        <v>62</v>
      </c>
      <c r="C73" s="16" t="s">
        <v>157</v>
      </c>
    </row>
    <row r="74" spans="1:3" ht="15" customHeight="1" x14ac:dyDescent="0.25">
      <c r="A74" s="29">
        <v>2016</v>
      </c>
      <c r="B74" s="16" t="s">
        <v>63</v>
      </c>
      <c r="C74" s="16" t="s">
        <v>158</v>
      </c>
    </row>
    <row r="75" spans="1:3" ht="15" customHeight="1" x14ac:dyDescent="0.25">
      <c r="A75" s="29">
        <v>2016</v>
      </c>
      <c r="B75" s="16" t="s">
        <v>64</v>
      </c>
      <c r="C75" s="16" t="s">
        <v>159</v>
      </c>
    </row>
    <row r="76" spans="1:3" ht="15" customHeight="1" x14ac:dyDescent="0.25">
      <c r="A76" s="29">
        <v>2016</v>
      </c>
      <c r="B76" s="16" t="s">
        <v>65</v>
      </c>
      <c r="C76" s="16" t="s">
        <v>160</v>
      </c>
    </row>
    <row r="77" spans="1:3" ht="15" customHeight="1" x14ac:dyDescent="0.25">
      <c r="A77" s="29">
        <v>2017</v>
      </c>
      <c r="B77" s="16" t="s">
        <v>55</v>
      </c>
      <c r="C77" s="16" t="s">
        <v>161</v>
      </c>
    </row>
    <row r="78" spans="1:3" ht="15" customHeight="1" x14ac:dyDescent="0.25">
      <c r="A78" s="29">
        <v>2017</v>
      </c>
      <c r="B78" s="16" t="s">
        <v>56</v>
      </c>
      <c r="C78" s="16" t="s">
        <v>162</v>
      </c>
    </row>
    <row r="79" spans="1:3" ht="15" customHeight="1" x14ac:dyDescent="0.25">
      <c r="A79" s="29">
        <v>2017</v>
      </c>
      <c r="B79" s="16" t="s">
        <v>57</v>
      </c>
      <c r="C79" s="16" t="s">
        <v>163</v>
      </c>
    </row>
    <row r="80" spans="1:3" ht="15" customHeight="1" x14ac:dyDescent="0.25">
      <c r="A80" s="29">
        <v>2017</v>
      </c>
      <c r="B80" s="16" t="s">
        <v>58</v>
      </c>
      <c r="C80" s="16" t="s">
        <v>164</v>
      </c>
    </row>
    <row r="81" spans="1:3" ht="15" customHeight="1" x14ac:dyDescent="0.25">
      <c r="A81" s="29">
        <v>2017</v>
      </c>
      <c r="B81" s="16" t="s">
        <v>31</v>
      </c>
      <c r="C81" s="16" t="s">
        <v>165</v>
      </c>
    </row>
    <row r="82" spans="1:3" ht="15" customHeight="1" x14ac:dyDescent="0.25">
      <c r="A82" s="29">
        <v>2017</v>
      </c>
      <c r="B82" s="16" t="s">
        <v>59</v>
      </c>
      <c r="C82" s="16" t="s">
        <v>166</v>
      </c>
    </row>
    <row r="83" spans="1:3" ht="15" customHeight="1" x14ac:dyDescent="0.25">
      <c r="A83" s="29">
        <v>2017</v>
      </c>
      <c r="B83" s="16" t="s">
        <v>60</v>
      </c>
      <c r="C83" s="16" t="s">
        <v>167</v>
      </c>
    </row>
    <row r="84" spans="1:3" ht="15" customHeight="1" x14ac:dyDescent="0.25">
      <c r="A84" s="29">
        <v>2017</v>
      </c>
      <c r="B84" s="16" t="s">
        <v>61</v>
      </c>
      <c r="C84" s="16" t="s">
        <v>168</v>
      </c>
    </row>
    <row r="85" spans="1:3" ht="15" customHeight="1" x14ac:dyDescent="0.25">
      <c r="A85" s="29">
        <v>2017</v>
      </c>
      <c r="B85" s="16" t="s">
        <v>62</v>
      </c>
      <c r="C85" s="16" t="s">
        <v>169</v>
      </c>
    </row>
    <row r="86" spans="1:3" ht="15" customHeight="1" x14ac:dyDescent="0.25">
      <c r="A86" s="29">
        <v>2017</v>
      </c>
      <c r="B86" s="16" t="s">
        <v>63</v>
      </c>
      <c r="C86" s="16" t="s">
        <v>170</v>
      </c>
    </row>
    <row r="87" spans="1:3" ht="15" customHeight="1" x14ac:dyDescent="0.25">
      <c r="A87" s="29">
        <v>2017</v>
      </c>
      <c r="B87" s="16" t="s">
        <v>64</v>
      </c>
      <c r="C87" s="16" t="s">
        <v>171</v>
      </c>
    </row>
    <row r="88" spans="1:3" ht="15" customHeight="1" x14ac:dyDescent="0.25">
      <c r="A88" s="29">
        <v>2017</v>
      </c>
      <c r="B88" s="16" t="s">
        <v>65</v>
      </c>
      <c r="C88" s="16" t="s">
        <v>172</v>
      </c>
    </row>
    <row r="89" spans="1:3" ht="15" customHeight="1" x14ac:dyDescent="0.25">
      <c r="A89" s="29">
        <v>2018</v>
      </c>
      <c r="B89" s="16" t="s">
        <v>55</v>
      </c>
      <c r="C89" s="16" t="s">
        <v>173</v>
      </c>
    </row>
    <row r="90" spans="1:3" ht="15" customHeight="1" x14ac:dyDescent="0.25">
      <c r="A90" s="29">
        <v>2018</v>
      </c>
      <c r="B90" s="16" t="s">
        <v>56</v>
      </c>
      <c r="C90" s="16" t="s">
        <v>174</v>
      </c>
    </row>
    <row r="91" spans="1:3" ht="15" customHeight="1" x14ac:dyDescent="0.25">
      <c r="A91" s="29">
        <v>2018</v>
      </c>
      <c r="B91" s="16" t="s">
        <v>57</v>
      </c>
      <c r="C91" s="16" t="s">
        <v>175</v>
      </c>
    </row>
    <row r="92" spans="1:3" ht="15" customHeight="1" x14ac:dyDescent="0.25">
      <c r="A92" s="29">
        <v>2018</v>
      </c>
      <c r="B92" s="16" t="s">
        <v>58</v>
      </c>
      <c r="C92" s="16" t="s">
        <v>176</v>
      </c>
    </row>
    <row r="93" spans="1:3" ht="15" customHeight="1" x14ac:dyDescent="0.25">
      <c r="A93" s="29">
        <v>2018</v>
      </c>
      <c r="B93" s="16" t="s">
        <v>31</v>
      </c>
      <c r="C93" s="16" t="s">
        <v>177</v>
      </c>
    </row>
    <row r="94" spans="1:3" ht="15" customHeight="1" x14ac:dyDescent="0.25">
      <c r="A94" s="29">
        <v>2018</v>
      </c>
      <c r="B94" s="16" t="s">
        <v>59</v>
      </c>
      <c r="C94" s="16" t="s">
        <v>178</v>
      </c>
    </row>
    <row r="95" spans="1:3" ht="15" customHeight="1" x14ac:dyDescent="0.25">
      <c r="A95" s="29">
        <v>2018</v>
      </c>
      <c r="B95" s="16" t="s">
        <v>60</v>
      </c>
      <c r="C95" s="16" t="s">
        <v>179</v>
      </c>
    </row>
    <row r="96" spans="1:3" ht="15" customHeight="1" x14ac:dyDescent="0.25">
      <c r="A96" s="29">
        <v>2018</v>
      </c>
      <c r="B96" s="16" t="s">
        <v>61</v>
      </c>
      <c r="C96" s="16" t="s">
        <v>180</v>
      </c>
    </row>
    <row r="97" spans="1:3" ht="15" customHeight="1" x14ac:dyDescent="0.25">
      <c r="A97" s="29">
        <v>2018</v>
      </c>
      <c r="B97" s="16" t="s">
        <v>62</v>
      </c>
      <c r="C97" s="16" t="s">
        <v>181</v>
      </c>
    </row>
    <row r="98" spans="1:3" ht="15" customHeight="1" x14ac:dyDescent="0.25">
      <c r="A98" s="29">
        <v>2018</v>
      </c>
      <c r="B98" s="16" t="s">
        <v>63</v>
      </c>
      <c r="C98" s="16" t="s">
        <v>182</v>
      </c>
    </row>
    <row r="99" spans="1:3" ht="15" customHeight="1" x14ac:dyDescent="0.25">
      <c r="A99" s="29">
        <v>2018</v>
      </c>
      <c r="B99" s="16" t="s">
        <v>64</v>
      </c>
      <c r="C99" s="16" t="s">
        <v>183</v>
      </c>
    </row>
    <row r="100" spans="1:3" ht="15" customHeight="1" x14ac:dyDescent="0.25">
      <c r="A100" s="29">
        <v>2018</v>
      </c>
      <c r="B100" s="16" t="s">
        <v>65</v>
      </c>
      <c r="C100" s="16" t="s">
        <v>184</v>
      </c>
    </row>
    <row r="101" spans="1:3" ht="15" customHeight="1" x14ac:dyDescent="0.25">
      <c r="A101" s="29">
        <v>2019</v>
      </c>
      <c r="B101" s="16" t="s">
        <v>55</v>
      </c>
      <c r="C101" s="16" t="s">
        <v>185</v>
      </c>
    </row>
    <row r="102" spans="1:3" ht="15" customHeight="1" x14ac:dyDescent="0.25">
      <c r="A102" s="29">
        <v>2019</v>
      </c>
      <c r="B102" s="16" t="s">
        <v>56</v>
      </c>
      <c r="C102" s="16" t="s">
        <v>186</v>
      </c>
    </row>
    <row r="103" spans="1:3" ht="15" customHeight="1" x14ac:dyDescent="0.25">
      <c r="A103" s="29">
        <v>2019</v>
      </c>
      <c r="B103" s="16" t="s">
        <v>57</v>
      </c>
      <c r="C103" s="16" t="s">
        <v>187</v>
      </c>
    </row>
    <row r="104" spans="1:3" ht="15" customHeight="1" x14ac:dyDescent="0.25">
      <c r="A104" s="29">
        <v>2019</v>
      </c>
      <c r="B104" s="16" t="s">
        <v>58</v>
      </c>
      <c r="C104" s="16" t="s">
        <v>188</v>
      </c>
    </row>
    <row r="105" spans="1:3" ht="15" customHeight="1" x14ac:dyDescent="0.25">
      <c r="A105" s="29">
        <v>2019</v>
      </c>
      <c r="B105" s="16" t="s">
        <v>31</v>
      </c>
      <c r="C105" s="16" t="s">
        <v>189</v>
      </c>
    </row>
    <row r="106" spans="1:3" ht="15" customHeight="1" x14ac:dyDescent="0.25">
      <c r="A106" s="29">
        <v>2019</v>
      </c>
      <c r="B106" s="16" t="s">
        <v>59</v>
      </c>
      <c r="C106" s="16" t="s">
        <v>190</v>
      </c>
    </row>
    <row r="107" spans="1:3" ht="15" customHeight="1" x14ac:dyDescent="0.25">
      <c r="A107" s="29">
        <v>2019</v>
      </c>
      <c r="B107" s="16" t="s">
        <v>60</v>
      </c>
      <c r="C107" s="16" t="s">
        <v>191</v>
      </c>
    </row>
    <row r="108" spans="1:3" ht="15" customHeight="1" x14ac:dyDescent="0.25">
      <c r="A108" s="29">
        <v>2019</v>
      </c>
      <c r="B108" s="16" t="s">
        <v>61</v>
      </c>
      <c r="C108" s="16" t="s">
        <v>192</v>
      </c>
    </row>
    <row r="109" spans="1:3" ht="15" customHeight="1" x14ac:dyDescent="0.25">
      <c r="A109" s="29">
        <v>2019</v>
      </c>
      <c r="B109" s="16" t="s">
        <v>62</v>
      </c>
      <c r="C109" s="16" t="s">
        <v>193</v>
      </c>
    </row>
    <row r="110" spans="1:3" ht="15" customHeight="1" x14ac:dyDescent="0.25">
      <c r="A110" s="29">
        <v>2019</v>
      </c>
      <c r="B110" s="16" t="s">
        <v>63</v>
      </c>
      <c r="C110" s="16" t="s">
        <v>194</v>
      </c>
    </row>
    <row r="111" spans="1:3" ht="15" customHeight="1" x14ac:dyDescent="0.25">
      <c r="A111" s="29">
        <v>2019</v>
      </c>
      <c r="B111" s="16" t="s">
        <v>64</v>
      </c>
      <c r="C111" s="16" t="s">
        <v>195</v>
      </c>
    </row>
    <row r="112" spans="1:3" ht="15" customHeight="1" x14ac:dyDescent="0.25">
      <c r="A112" s="29">
        <v>2019</v>
      </c>
      <c r="B112" s="16" t="s">
        <v>65</v>
      </c>
      <c r="C112" s="16" t="s">
        <v>196</v>
      </c>
    </row>
    <row r="113" spans="1:3" ht="15" customHeight="1" x14ac:dyDescent="0.25">
      <c r="A113" s="29">
        <v>2020</v>
      </c>
      <c r="B113" s="16" t="s">
        <v>55</v>
      </c>
      <c r="C113" s="16" t="s">
        <v>197</v>
      </c>
    </row>
    <row r="114" spans="1:3" ht="15" customHeight="1" x14ac:dyDescent="0.25">
      <c r="A114" s="29">
        <v>2020</v>
      </c>
      <c r="B114" s="16" t="s">
        <v>56</v>
      </c>
      <c r="C114" s="16" t="s">
        <v>198</v>
      </c>
    </row>
    <row r="115" spans="1:3" ht="15" customHeight="1" x14ac:dyDescent="0.25">
      <c r="A115" s="29">
        <v>2020</v>
      </c>
      <c r="B115" s="16" t="s">
        <v>57</v>
      </c>
      <c r="C115" s="16" t="s">
        <v>199</v>
      </c>
    </row>
    <row r="116" spans="1:3" ht="15" customHeight="1" x14ac:dyDescent="0.25">
      <c r="A116" s="29">
        <v>2020</v>
      </c>
      <c r="B116" s="16" t="s">
        <v>58</v>
      </c>
      <c r="C116" s="16" t="s">
        <v>200</v>
      </c>
    </row>
    <row r="117" spans="1:3" ht="15" customHeight="1" x14ac:dyDescent="0.25">
      <c r="A117" s="29">
        <v>2020</v>
      </c>
      <c r="B117" s="16" t="s">
        <v>31</v>
      </c>
      <c r="C117" s="16" t="s">
        <v>201</v>
      </c>
    </row>
    <row r="118" spans="1:3" ht="15" customHeight="1" x14ac:dyDescent="0.25">
      <c r="A118" s="29">
        <v>2020</v>
      </c>
      <c r="B118" s="16" t="s">
        <v>59</v>
      </c>
      <c r="C118" s="16" t="s">
        <v>202</v>
      </c>
    </row>
    <row r="119" spans="1:3" ht="15" customHeight="1" x14ac:dyDescent="0.25">
      <c r="A119" s="29">
        <v>2020</v>
      </c>
      <c r="B119" s="16" t="s">
        <v>60</v>
      </c>
      <c r="C119" s="16" t="s">
        <v>203</v>
      </c>
    </row>
    <row r="120" spans="1:3" ht="15" customHeight="1" x14ac:dyDescent="0.25">
      <c r="A120" s="29">
        <v>2020</v>
      </c>
      <c r="B120" s="16" t="s">
        <v>61</v>
      </c>
      <c r="C120" s="16" t="s">
        <v>204</v>
      </c>
    </row>
    <row r="121" spans="1:3" ht="15" customHeight="1" x14ac:dyDescent="0.25">
      <c r="A121" s="29">
        <v>2020</v>
      </c>
      <c r="B121" s="16" t="s">
        <v>62</v>
      </c>
      <c r="C121" s="16" t="s">
        <v>205</v>
      </c>
    </row>
    <row r="122" spans="1:3" ht="15" customHeight="1" x14ac:dyDescent="0.25">
      <c r="A122" s="29">
        <v>2020</v>
      </c>
      <c r="B122" s="16" t="s">
        <v>63</v>
      </c>
      <c r="C122" s="16" t="s">
        <v>206</v>
      </c>
    </row>
    <row r="123" spans="1:3" ht="15" customHeight="1" x14ac:dyDescent="0.25">
      <c r="A123" s="29">
        <v>2020</v>
      </c>
      <c r="B123" s="16" t="s">
        <v>64</v>
      </c>
      <c r="C123" s="16" t="s">
        <v>207</v>
      </c>
    </row>
    <row r="124" spans="1:3" ht="15" customHeight="1" x14ac:dyDescent="0.25">
      <c r="A124" s="29">
        <v>2020</v>
      </c>
      <c r="B124" s="16" t="s">
        <v>65</v>
      </c>
      <c r="C124" s="16" t="s">
        <v>208</v>
      </c>
    </row>
  </sheetData>
  <autoFilter ref="A4:C124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4A1E4E-9E1C-4E2E-9B3E-6D0E1B7C51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8</vt:i4>
      </vt:variant>
      <vt:variant>
        <vt:lpstr>Именованные диапазоны</vt:lpstr>
      </vt:variant>
      <vt:variant>
        <vt:i4>7</vt:i4>
      </vt:variant>
    </vt:vector>
  </HeadingPairs>
  <TitlesOfParts>
    <vt:vector size="15" baseType="lpstr">
      <vt:lpstr>Источник_нетаблицы</vt:lpstr>
      <vt:lpstr>Источник_годы_месяцы</vt:lpstr>
      <vt:lpstr>Т1_Типы_техники</vt:lpstr>
      <vt:lpstr>Т2_Месяцы_продажи</vt:lpstr>
      <vt:lpstr>Т3_Годы_2017_2018</vt:lpstr>
      <vt:lpstr>Т4_Кварталы</vt:lpstr>
      <vt:lpstr>Т5_Продавцы</vt:lpstr>
      <vt:lpstr>Задача2_Месяц_Год</vt:lpstr>
      <vt:lpstr>Годы</vt:lpstr>
      <vt:lpstr>Месяц</vt:lpstr>
      <vt:lpstr>Нетаблица_1</vt:lpstr>
      <vt:lpstr>Нетаблица_2</vt:lpstr>
      <vt:lpstr>Нетаблица_3</vt:lpstr>
      <vt:lpstr>Нетаблица_4</vt:lpstr>
      <vt:lpstr>Нетаблица_5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Бужор Александра Андреевна</cp:lastModifiedBy>
  <cp:revision>0</cp:revision>
  <dcterms:created xsi:type="dcterms:W3CDTF">2026-08-17T11:55:11Z</dcterms:created>
  <dcterms:modified xsi:type="dcterms:W3CDTF">2026-08-20T05:45:21Z</dcterms:modified>
  <dc:language>en-US</dc:language>
</cp:coreProperties>
</file>