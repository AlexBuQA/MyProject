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zhor_aa\Downloads\"/>
    </mc:Choice>
  </mc:AlternateContent>
  <bookViews>
    <workbookView xWindow="0" yWindow="0" windowWidth="24750" windowHeight="11310" tabRatio="500" activeTab="1"/>
  </bookViews>
  <sheets>
    <sheet name="Данные" sheetId="2" r:id="rId1"/>
    <sheet name="Результат" sheetId="3" r:id="rId2"/>
  </sheets>
  <calcPr calcId="162913" iterateDelta="1E-4"/>
</workbook>
</file>

<file path=xl/calcChain.xml><?xml version="1.0" encoding="utf-8"?>
<calcChain xmlns="http://schemas.openxmlformats.org/spreadsheetml/2006/main">
  <c r="M12" i="3" l="1"/>
  <c r="L12" i="3"/>
  <c r="K12" i="3"/>
  <c r="J12" i="3"/>
  <c r="I12" i="3"/>
  <c r="H12" i="3"/>
  <c r="G12" i="3"/>
  <c r="F12" i="3"/>
  <c r="E12" i="3"/>
  <c r="D12" i="3"/>
  <c r="C12" i="3"/>
  <c r="B12" i="3"/>
</calcChain>
</file>

<file path=xl/sharedStrings.xml><?xml version="1.0" encoding="utf-8"?>
<sst xmlns="http://schemas.openxmlformats.org/spreadsheetml/2006/main" count="67" uniqueCount="59">
  <si>
    <t>2018 год</t>
  </si>
  <si>
    <t>Наименование магазина</t>
  </si>
  <si>
    <t>Выручка янв</t>
  </si>
  <si>
    <t>Доля бюджета янв</t>
  </si>
  <si>
    <t>Бюджет,янв</t>
  </si>
  <si>
    <t>Фев, выр</t>
  </si>
  <si>
    <t>Доля бюджета фев</t>
  </si>
  <si>
    <t>Бюджет;февраль</t>
  </si>
  <si>
    <t>Выручка март</t>
  </si>
  <si>
    <t>% бюджета мар</t>
  </si>
  <si>
    <t>Бюджет Март</t>
  </si>
  <si>
    <t>Выручка апр</t>
  </si>
  <si>
    <t>Доля бюджета апр</t>
  </si>
  <si>
    <t>бюджет,Апр</t>
  </si>
  <si>
    <t>Майская выручка</t>
  </si>
  <si>
    <t>Доля бюджета май</t>
  </si>
  <si>
    <t>Бюджет.май</t>
  </si>
  <si>
    <t>Выручка июня</t>
  </si>
  <si>
    <t>Доля бюджета июнь</t>
  </si>
  <si>
    <t>бюджет,Июнь</t>
  </si>
  <si>
    <t>Выр июль</t>
  </si>
  <si>
    <t>% бюджета в авг</t>
  </si>
  <si>
    <t>бюджет.Июль</t>
  </si>
  <si>
    <t>Выр, авг</t>
  </si>
  <si>
    <t>% бюджета, авг</t>
  </si>
  <si>
    <t>Бюджет;авг</t>
  </si>
  <si>
    <t>Выручка сент</t>
  </si>
  <si>
    <t>% бюджета, сент</t>
  </si>
  <si>
    <t>Бюджет,Сентяб</t>
  </si>
  <si>
    <t>Выручка окт</t>
  </si>
  <si>
    <t>% бюджета, октябрь</t>
  </si>
  <si>
    <t>Бюджет.октябрь</t>
  </si>
  <si>
    <t>Выручка ноя</t>
  </si>
  <si>
    <t>Доля бюджета в ноябре</t>
  </si>
  <si>
    <t>Бюджет,ноябрь</t>
  </si>
  <si>
    <t>Выручка, дек</t>
  </si>
  <si>
    <t>Доля б., дек</t>
  </si>
  <si>
    <t>Бюджет:декабрь</t>
  </si>
  <si>
    <t>Магазин 1</t>
  </si>
  <si>
    <t>Магазин 2</t>
  </si>
  <si>
    <t>Магазин 3</t>
  </si>
  <si>
    <t>Магазин 4</t>
  </si>
  <si>
    <t>Магазин 5</t>
  </si>
  <si>
    <t>Магазин 6</t>
  </si>
  <si>
    <t>Магазин 7</t>
  </si>
  <si>
    <t>01.01.2026</t>
  </si>
  <si>
    <t>01.02.2026</t>
  </si>
  <si>
    <t>01.03.2026</t>
  </si>
  <si>
    <t>01.04.2026</t>
  </si>
  <si>
    <t>01.05.2026</t>
  </si>
  <si>
    <t>01.06.2026</t>
  </si>
  <si>
    <t>01.07.2026</t>
  </si>
  <si>
    <t>01.08.2026</t>
  </si>
  <si>
    <t>01.09.2026</t>
  </si>
  <si>
    <t>01.10.2026</t>
  </si>
  <si>
    <t>01.11.2026</t>
  </si>
  <si>
    <t>01.12.2026</t>
  </si>
  <si>
    <t>Итого по столбцу</t>
  </si>
  <si>
    <t>Бюджет по магазинам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</si>
</sst>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,000"/>
  </numFmts>
  <fonts count="10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3"/>
      <name val="Arial"/>
      <family val="2"/>
      <charset val="204"/>
    </font>
    <font>
      <sz val="11"/>
      <name val="Calibri"/>
      <family val="2"/>
      <charset val="1"/>
    </font>
    <font>
      <i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0" fillId="0" borderId="0" xfId="0" applyAlignment="1"/>
    <xf numFmtId="0" fontId="3" fillId="0" borderId="1" xfId="0" applyFont="1" applyBorder="1" applyAlignme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9" fontId="2" fillId="0" borderId="1" xfId="0" applyNumberFormat="1" applyFont="1" applyBorder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/>
    <xf numFmtId="164" fontId="8" fillId="0" borderId="1" xfId="0" applyNumberFormat="1" applyFont="1" applyFill="1" applyBorder="1" applyAlignment="1"/>
    <xf numFmtId="0" fontId="7" fillId="0" borderId="1" xfId="0" applyFont="1" applyFill="1" applyBorder="1" applyAlignment="1"/>
    <xf numFmtId="164" fontId="7" fillId="0" borderId="1" xfId="0" applyNumberFormat="1" applyFont="1" applyFill="1" applyBorder="1" applyAlignment="1"/>
    <xf numFmtId="0" fontId="9" fillId="0" borderId="0" xfId="0" applyFont="1" applyFill="1" applyAlignment="1"/>
    <xf numFmtId="0" fontId="8" fillId="0" borderId="0" xfId="0" applyFont="1" applyFill="1" applyAlignment="1"/>
    <xf numFmtId="1" fontId="7" fillId="0" borderId="0" xfId="0" applyNumberFormat="1" applyFont="1" applyFill="1" applyAlignment="1"/>
    <xf numFmtId="164" fontId="7" fillId="0" borderId="0" xfId="0" applyNumberFormat="1" applyFont="1" applyFill="1" applyAlignment="1"/>
    <xf numFmtId="0" fontId="7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Данные" displayName="Данные" ref="A3:AK10" totalsRowShown="0">
  <autoFilter ref="A3:AK10"/>
  <tableColumns count="37">
    <tableColumn id="1" name="Наименование магазина"/>
    <tableColumn id="2" name="Выручка янв"/>
    <tableColumn id="3" name="Доля бюджета янв"/>
    <tableColumn id="4" name="Бюджет,янв"/>
    <tableColumn id="5" name="Фев, выр"/>
    <tableColumn id="6" name="Доля бюджета фев"/>
    <tableColumn id="7" name="Бюджет;февраль"/>
    <tableColumn id="8" name="Выручка март"/>
    <tableColumn id="9" name="% бюджета мар"/>
    <tableColumn id="10" name="Бюджет Март"/>
    <tableColumn id="11" name="Выручка апр"/>
    <tableColumn id="12" name="Доля бюджета апр"/>
    <tableColumn id="13" name="бюджет,Апр"/>
    <tableColumn id="14" name="Майская выручка"/>
    <tableColumn id="15" name="Доля бюджета май"/>
    <tableColumn id="16" name="Бюджет.май"/>
    <tableColumn id="17" name="Выручка июня"/>
    <tableColumn id="18" name="Доля бюджета июнь"/>
    <tableColumn id="19" name="бюджет,Июнь"/>
    <tableColumn id="20" name="Выр июль"/>
    <tableColumn id="21" name="% бюджета в авг"/>
    <tableColumn id="22" name="бюджет.Июль"/>
    <tableColumn id="23" name="Выр, авг"/>
    <tableColumn id="24" name="% бюджета, авг"/>
    <tableColumn id="25" name="Бюджет;авг"/>
    <tableColumn id="26" name="Выручка сент"/>
    <tableColumn id="27" name="% бюджета, сент"/>
    <tableColumn id="28" name="Бюджет,Сентяб"/>
    <tableColumn id="29" name="Выручка окт"/>
    <tableColumn id="30" name="% бюджета, октябрь"/>
    <tableColumn id="31" name="Бюджет.октябрь"/>
    <tableColumn id="32" name="Выручка ноя"/>
    <tableColumn id="33" name="Доля бюджета в ноябре"/>
    <tableColumn id="34" name="Бюджет,ноябрь"/>
    <tableColumn id="35" name="Выручка, дек"/>
    <tableColumn id="36" name="Доля б., дек"/>
    <tableColumn id="37" name="Бюджет:декабрь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2" sqref="B22"/>
    </sheetView>
  </sheetViews>
  <sheetFormatPr defaultColWidth="8.7109375" defaultRowHeight="15" x14ac:dyDescent="0.25"/>
  <cols>
    <col min="1" max="1" width="24" style="1" customWidth="1"/>
    <col min="2" max="37" width="15" style="1" customWidth="1"/>
  </cols>
  <sheetData>
    <row r="1" spans="1:37" ht="15" customHeight="1" x14ac:dyDescent="0.25">
      <c r="A1" s="2" t="s">
        <v>0</v>
      </c>
    </row>
    <row r="3" spans="1:37" ht="30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</row>
    <row r="4" spans="1:37" ht="15" customHeight="1" x14ac:dyDescent="0.25">
      <c r="A4" s="4" t="s">
        <v>38</v>
      </c>
      <c r="B4" s="5">
        <v>9574920</v>
      </c>
      <c r="C4" s="6">
        <v>0.13</v>
      </c>
      <c r="D4" s="5">
        <v>1244739.6100000001</v>
      </c>
      <c r="E4" s="5">
        <v>2585218</v>
      </c>
      <c r="F4" s="6">
        <v>0.11</v>
      </c>
      <c r="G4" s="5">
        <v>1244739.6399999999</v>
      </c>
      <c r="H4" s="5">
        <v>9468644</v>
      </c>
      <c r="I4" s="6">
        <v>0.15</v>
      </c>
      <c r="J4" s="5">
        <v>1244739.7</v>
      </c>
      <c r="K4" s="5">
        <v>1914906</v>
      </c>
      <c r="L4" s="6">
        <v>0.2</v>
      </c>
      <c r="M4" s="5">
        <v>1244739.6299999999</v>
      </c>
      <c r="N4" s="5">
        <v>8120005</v>
      </c>
      <c r="O4" s="6">
        <v>0.15</v>
      </c>
      <c r="P4" s="5">
        <v>1244739.5</v>
      </c>
      <c r="Q4" s="5">
        <v>4208440</v>
      </c>
      <c r="R4" s="6">
        <v>0.1</v>
      </c>
      <c r="S4" s="5">
        <v>1244739.5</v>
      </c>
      <c r="T4" s="5">
        <v>2600191</v>
      </c>
      <c r="U4" s="6">
        <v>0.11</v>
      </c>
      <c r="V4" s="5">
        <v>1244739.7</v>
      </c>
      <c r="W4" s="5">
        <v>5818654</v>
      </c>
      <c r="X4" s="6">
        <v>0.16</v>
      </c>
      <c r="Y4" s="5">
        <v>1244739.69</v>
      </c>
      <c r="Z4" s="5">
        <v>9056791</v>
      </c>
      <c r="AA4" s="6">
        <v>0.14000000000000001</v>
      </c>
      <c r="AB4" s="5">
        <v>1244739.58</v>
      </c>
      <c r="AC4" s="5">
        <v>5405876</v>
      </c>
      <c r="AD4" s="6">
        <v>0.15</v>
      </c>
      <c r="AE4" s="5">
        <v>1244739.58</v>
      </c>
      <c r="AF4" s="5">
        <v>4329270</v>
      </c>
      <c r="AG4" s="6">
        <v>0.19</v>
      </c>
      <c r="AH4" s="5">
        <v>1244739.69</v>
      </c>
      <c r="AI4" s="5">
        <v>2998903</v>
      </c>
      <c r="AJ4" s="6">
        <v>0.13</v>
      </c>
      <c r="AK4" s="5">
        <v>1244739.6399999999</v>
      </c>
    </row>
    <row r="5" spans="1:37" ht="15" customHeight="1" x14ac:dyDescent="0.25">
      <c r="A5" s="4" t="s">
        <v>39</v>
      </c>
      <c r="B5" s="5">
        <v>6685832</v>
      </c>
      <c r="C5" s="6">
        <v>0.18</v>
      </c>
      <c r="D5" s="5">
        <v>1203449.78</v>
      </c>
      <c r="E5" s="5">
        <v>6713051</v>
      </c>
      <c r="F5" s="6">
        <v>0.13</v>
      </c>
      <c r="G5" s="5">
        <v>1203449.71</v>
      </c>
      <c r="H5" s="5">
        <v>8730231</v>
      </c>
      <c r="I5" s="6">
        <v>0.13</v>
      </c>
      <c r="J5" s="5">
        <v>1203449.74</v>
      </c>
      <c r="K5" s="5">
        <v>8017895</v>
      </c>
      <c r="L5" s="6">
        <v>0.18</v>
      </c>
      <c r="M5" s="5">
        <v>1203449.78</v>
      </c>
      <c r="N5" s="5">
        <v>9390849</v>
      </c>
      <c r="O5" s="6">
        <v>0.13</v>
      </c>
      <c r="P5" s="5">
        <v>1203449.7</v>
      </c>
      <c r="Q5" s="5">
        <v>9023504</v>
      </c>
      <c r="R5" s="6">
        <v>0.2</v>
      </c>
      <c r="S5" s="5">
        <v>1203449.8600000001</v>
      </c>
      <c r="T5" s="5">
        <v>4390059</v>
      </c>
      <c r="U5" s="6">
        <v>0.14000000000000001</v>
      </c>
      <c r="V5" s="5">
        <v>1203449.74</v>
      </c>
      <c r="W5" s="5">
        <v>7981024</v>
      </c>
      <c r="X5" s="6">
        <v>0.19</v>
      </c>
      <c r="Y5" s="5">
        <v>1203449.8500000001</v>
      </c>
      <c r="Z5" s="5">
        <v>8399278</v>
      </c>
      <c r="AA5" s="6">
        <v>0.15</v>
      </c>
      <c r="AB5" s="5">
        <v>1203449.83</v>
      </c>
      <c r="AC5" s="5">
        <v>2780100</v>
      </c>
      <c r="AD5" s="6">
        <v>0.13</v>
      </c>
      <c r="AE5" s="5">
        <v>1203449.82</v>
      </c>
      <c r="AF5" s="5">
        <v>3219407</v>
      </c>
      <c r="AG5" s="6">
        <v>0.16</v>
      </c>
      <c r="AH5" s="5">
        <v>1203449.79</v>
      </c>
      <c r="AI5" s="5">
        <v>7968913</v>
      </c>
      <c r="AJ5" s="6">
        <v>0.16</v>
      </c>
      <c r="AK5" s="5">
        <v>1203449.8</v>
      </c>
    </row>
    <row r="6" spans="1:37" ht="15" customHeight="1" x14ac:dyDescent="0.25">
      <c r="A6" s="4" t="s">
        <v>40</v>
      </c>
      <c r="B6" s="5">
        <v>7483071</v>
      </c>
      <c r="C6" s="6">
        <v>0.11</v>
      </c>
      <c r="D6" s="5">
        <v>823137.8</v>
      </c>
      <c r="E6" s="5">
        <v>8176684</v>
      </c>
      <c r="F6" s="6">
        <v>0.12</v>
      </c>
      <c r="G6" s="5">
        <v>823137.71</v>
      </c>
      <c r="H6" s="5">
        <v>3546206</v>
      </c>
      <c r="I6" s="6">
        <v>0.13</v>
      </c>
      <c r="J6" s="5">
        <v>823137.79</v>
      </c>
      <c r="K6" s="5">
        <v>4380413</v>
      </c>
      <c r="L6" s="6">
        <v>0.17</v>
      </c>
      <c r="M6" s="5">
        <v>823137.75</v>
      </c>
      <c r="N6" s="5">
        <v>3939639</v>
      </c>
      <c r="O6" s="6">
        <v>0.11</v>
      </c>
      <c r="P6" s="5">
        <v>823137.86</v>
      </c>
      <c r="Q6" s="5">
        <v>8427328</v>
      </c>
      <c r="R6" s="6">
        <v>0.18</v>
      </c>
      <c r="S6" s="5">
        <v>823137.73</v>
      </c>
      <c r="T6" s="5">
        <v>9134962</v>
      </c>
      <c r="U6" s="6">
        <v>0.1</v>
      </c>
      <c r="V6" s="5">
        <v>823137.85</v>
      </c>
      <c r="W6" s="5">
        <v>8745141</v>
      </c>
      <c r="X6" s="6">
        <v>0.19</v>
      </c>
      <c r="Y6" s="5">
        <v>823137.76</v>
      </c>
      <c r="Z6" s="5">
        <v>1502860</v>
      </c>
      <c r="AA6" s="6">
        <v>0.17</v>
      </c>
      <c r="AB6" s="5">
        <v>823137.78</v>
      </c>
      <c r="AC6" s="5">
        <v>3353568</v>
      </c>
      <c r="AD6" s="6">
        <v>0.13</v>
      </c>
      <c r="AE6" s="5">
        <v>823137.87</v>
      </c>
      <c r="AF6" s="5">
        <v>2120714</v>
      </c>
      <c r="AG6" s="6">
        <v>0.14000000000000001</v>
      </c>
      <c r="AH6" s="5">
        <v>823137.88</v>
      </c>
      <c r="AI6" s="5">
        <v>7823891</v>
      </c>
      <c r="AJ6" s="6">
        <v>0.12</v>
      </c>
      <c r="AK6" s="5">
        <v>823137.79</v>
      </c>
    </row>
    <row r="7" spans="1:37" ht="15" customHeight="1" x14ac:dyDescent="0.25">
      <c r="A7" s="4" t="s">
        <v>41</v>
      </c>
      <c r="B7" s="5">
        <v>3800733</v>
      </c>
      <c r="C7" s="6">
        <v>0.16</v>
      </c>
      <c r="D7" s="5">
        <v>608117.25</v>
      </c>
      <c r="E7" s="5">
        <v>3195764</v>
      </c>
      <c r="F7" s="6">
        <v>0.14000000000000001</v>
      </c>
      <c r="G7" s="5">
        <v>608117.23</v>
      </c>
      <c r="H7" s="5">
        <v>6822306</v>
      </c>
      <c r="I7" s="6">
        <v>0.11</v>
      </c>
      <c r="J7" s="5">
        <v>608117.23</v>
      </c>
      <c r="K7" s="5">
        <v>7468542</v>
      </c>
      <c r="L7" s="6">
        <v>0.17</v>
      </c>
      <c r="M7" s="5">
        <v>608117.37</v>
      </c>
      <c r="N7" s="5">
        <v>4065733</v>
      </c>
      <c r="O7" s="6">
        <v>0.12</v>
      </c>
      <c r="P7" s="5">
        <v>608117.36</v>
      </c>
      <c r="Q7" s="5">
        <v>6410562</v>
      </c>
      <c r="R7" s="6">
        <v>0.12</v>
      </c>
      <c r="S7" s="5">
        <v>608117.29</v>
      </c>
      <c r="T7" s="5">
        <v>2471526</v>
      </c>
      <c r="U7" s="6">
        <v>0.12</v>
      </c>
      <c r="V7" s="5">
        <v>608117.38</v>
      </c>
      <c r="W7" s="5">
        <v>4152486</v>
      </c>
      <c r="X7" s="6">
        <v>0.12</v>
      </c>
      <c r="Y7" s="5">
        <v>608117.23</v>
      </c>
      <c r="Z7" s="5">
        <v>7858392</v>
      </c>
      <c r="AA7" s="6">
        <v>0.1</v>
      </c>
      <c r="AB7" s="5">
        <v>608117.34</v>
      </c>
      <c r="AC7" s="5">
        <v>8203491</v>
      </c>
      <c r="AD7" s="6">
        <v>0.19</v>
      </c>
      <c r="AE7" s="5">
        <v>608117.19999999995</v>
      </c>
      <c r="AF7" s="5">
        <v>8838459</v>
      </c>
      <c r="AG7" s="6">
        <v>0.17</v>
      </c>
      <c r="AH7" s="5">
        <v>608117.36</v>
      </c>
      <c r="AI7" s="5">
        <v>3529312</v>
      </c>
      <c r="AJ7" s="6">
        <v>0.18</v>
      </c>
      <c r="AK7" s="5">
        <v>608117.24</v>
      </c>
    </row>
    <row r="8" spans="1:37" ht="15" customHeight="1" x14ac:dyDescent="0.25">
      <c r="A8" s="4" t="s">
        <v>42</v>
      </c>
      <c r="B8" s="5">
        <v>1731101</v>
      </c>
      <c r="C8" s="6">
        <v>0.1</v>
      </c>
      <c r="D8" s="5">
        <v>173110.13</v>
      </c>
      <c r="E8" s="5">
        <v>6493054</v>
      </c>
      <c r="F8" s="6">
        <v>0.12</v>
      </c>
      <c r="G8" s="5">
        <v>173110.17</v>
      </c>
      <c r="H8" s="5">
        <v>5710306</v>
      </c>
      <c r="I8" s="6">
        <v>0.17</v>
      </c>
      <c r="J8" s="5">
        <v>173110</v>
      </c>
      <c r="K8" s="5">
        <v>1848414</v>
      </c>
      <c r="L8" s="6">
        <v>0.13</v>
      </c>
      <c r="M8" s="5">
        <v>173110.08</v>
      </c>
      <c r="N8" s="5">
        <v>7254043</v>
      </c>
      <c r="O8" s="6">
        <v>0.12</v>
      </c>
      <c r="P8" s="5">
        <v>173110.06</v>
      </c>
      <c r="Q8" s="5">
        <v>6328508</v>
      </c>
      <c r="R8" s="6">
        <v>0.1</v>
      </c>
      <c r="S8" s="5">
        <v>173110.2</v>
      </c>
      <c r="T8" s="5">
        <v>7374615</v>
      </c>
      <c r="U8" s="6">
        <v>0.11</v>
      </c>
      <c r="V8" s="5">
        <v>173110.13</v>
      </c>
      <c r="W8" s="5">
        <v>1300264</v>
      </c>
      <c r="X8" s="6">
        <v>0.12</v>
      </c>
      <c r="Y8" s="5">
        <v>173110.19</v>
      </c>
      <c r="Z8" s="5">
        <v>3504757</v>
      </c>
      <c r="AA8" s="6">
        <v>0.18</v>
      </c>
      <c r="AB8" s="5">
        <v>173110.01</v>
      </c>
      <c r="AC8" s="5">
        <v>8107603</v>
      </c>
      <c r="AD8" s="6">
        <v>0.13</v>
      </c>
      <c r="AE8" s="5">
        <v>173110</v>
      </c>
      <c r="AF8" s="5">
        <v>4456373</v>
      </c>
      <c r="AG8" s="6">
        <v>0.18</v>
      </c>
      <c r="AH8" s="5">
        <v>173110.16</v>
      </c>
      <c r="AI8" s="5">
        <v>8748367</v>
      </c>
      <c r="AJ8" s="6">
        <v>0.17</v>
      </c>
      <c r="AK8" s="5">
        <v>173110.19</v>
      </c>
    </row>
    <row r="9" spans="1:37" ht="15" customHeight="1" x14ac:dyDescent="0.25">
      <c r="A9" s="4" t="s">
        <v>43</v>
      </c>
      <c r="B9" s="5">
        <v>2104232</v>
      </c>
      <c r="C9" s="6">
        <v>0.19</v>
      </c>
      <c r="D9" s="5">
        <v>399804.09</v>
      </c>
      <c r="E9" s="5">
        <v>3048173</v>
      </c>
      <c r="F9" s="6">
        <v>0.14000000000000001</v>
      </c>
      <c r="G9" s="5">
        <v>399804.17</v>
      </c>
      <c r="H9" s="5">
        <v>2639535</v>
      </c>
      <c r="I9" s="6">
        <v>0.16</v>
      </c>
      <c r="J9" s="5">
        <v>399804</v>
      </c>
      <c r="K9" s="5">
        <v>7449555</v>
      </c>
      <c r="L9" s="6">
        <v>0.11</v>
      </c>
      <c r="M9" s="5">
        <v>399804</v>
      </c>
      <c r="N9" s="5">
        <v>2992988</v>
      </c>
      <c r="O9" s="6">
        <v>0.12</v>
      </c>
      <c r="P9" s="5">
        <v>399804.11</v>
      </c>
      <c r="Q9" s="5">
        <v>1062552</v>
      </c>
      <c r="R9" s="6">
        <v>0.16</v>
      </c>
      <c r="S9" s="5">
        <v>399804.13</v>
      </c>
      <c r="T9" s="5">
        <v>2178078</v>
      </c>
      <c r="U9" s="6">
        <v>0.19</v>
      </c>
      <c r="V9" s="5">
        <v>399804.06</v>
      </c>
      <c r="W9" s="5">
        <v>8081260</v>
      </c>
      <c r="X9" s="6">
        <v>0.18</v>
      </c>
      <c r="Y9" s="5">
        <v>399804.05</v>
      </c>
      <c r="Z9" s="5">
        <v>9302324</v>
      </c>
      <c r="AA9" s="6">
        <v>0.11</v>
      </c>
      <c r="AB9" s="5">
        <v>399804.15</v>
      </c>
      <c r="AC9" s="5">
        <v>2436414</v>
      </c>
      <c r="AD9" s="6">
        <v>0.15</v>
      </c>
      <c r="AE9" s="5">
        <v>399804.09</v>
      </c>
      <c r="AF9" s="5">
        <v>8372507</v>
      </c>
      <c r="AG9" s="6">
        <v>0.13</v>
      </c>
      <c r="AH9" s="5">
        <v>399804.11</v>
      </c>
      <c r="AI9" s="5">
        <v>1048164</v>
      </c>
      <c r="AJ9" s="6">
        <v>0.1</v>
      </c>
      <c r="AK9" s="5">
        <v>399804.12</v>
      </c>
    </row>
    <row r="10" spans="1:37" ht="15" customHeight="1" x14ac:dyDescent="0.25">
      <c r="A10" s="4" t="s">
        <v>44</v>
      </c>
      <c r="B10" s="5">
        <v>6028016</v>
      </c>
      <c r="C10" s="6">
        <v>0.13</v>
      </c>
      <c r="D10" s="5">
        <v>783642.13</v>
      </c>
      <c r="E10" s="5">
        <v>2016148</v>
      </c>
      <c r="F10" s="6">
        <v>0.14000000000000001</v>
      </c>
      <c r="G10" s="5">
        <v>783642.02</v>
      </c>
      <c r="H10" s="5">
        <v>8962439</v>
      </c>
      <c r="I10" s="6">
        <v>0.16</v>
      </c>
      <c r="J10" s="5">
        <v>783642.14</v>
      </c>
      <c r="K10" s="5">
        <v>3059400</v>
      </c>
      <c r="L10" s="6">
        <v>0.2</v>
      </c>
      <c r="M10" s="5">
        <v>783642.09</v>
      </c>
      <c r="N10" s="5">
        <v>6227340</v>
      </c>
      <c r="O10" s="6">
        <v>0.1</v>
      </c>
      <c r="P10" s="5">
        <v>783642</v>
      </c>
      <c r="Q10" s="5">
        <v>1000192</v>
      </c>
      <c r="R10" s="6">
        <v>0.15</v>
      </c>
      <c r="S10" s="5">
        <v>783642.16</v>
      </c>
      <c r="T10" s="5">
        <v>5768486</v>
      </c>
      <c r="U10" s="6">
        <v>0.14000000000000001</v>
      </c>
      <c r="V10" s="5">
        <v>783642.03</v>
      </c>
      <c r="W10" s="5">
        <v>7734069</v>
      </c>
      <c r="X10" s="6">
        <v>0.17</v>
      </c>
      <c r="Y10" s="5">
        <v>783642</v>
      </c>
      <c r="Z10" s="5">
        <v>9630024</v>
      </c>
      <c r="AA10" s="6">
        <v>0.17</v>
      </c>
      <c r="AB10" s="5">
        <v>783642.18</v>
      </c>
      <c r="AC10" s="5">
        <v>5407536</v>
      </c>
      <c r="AD10" s="6">
        <v>0.16</v>
      </c>
      <c r="AE10" s="5">
        <v>783642.11</v>
      </c>
      <c r="AF10" s="5">
        <v>3793826</v>
      </c>
      <c r="AG10" s="6">
        <v>0.13</v>
      </c>
      <c r="AH10" s="5">
        <v>783642.16</v>
      </c>
      <c r="AI10" s="5">
        <v>9715991</v>
      </c>
      <c r="AJ10" s="6">
        <v>0.19</v>
      </c>
      <c r="AK10" s="5">
        <v>783642.01</v>
      </c>
    </row>
    <row r="13" spans="1:37" ht="15" customHeight="1" x14ac:dyDescent="0.25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3" sqref="N13"/>
    </sheetView>
  </sheetViews>
  <sheetFormatPr defaultColWidth="8.7109375" defaultRowHeight="15" x14ac:dyDescent="0.25"/>
  <cols>
    <col min="1" max="1" width="24" style="8" customWidth="1"/>
    <col min="2" max="13" width="14" style="8" customWidth="1"/>
    <col min="14" max="16384" width="8.7109375" style="8"/>
  </cols>
  <sheetData>
    <row r="1" spans="1:13" ht="16.149999999999999" customHeight="1" x14ac:dyDescent="0.25">
      <c r="A1" s="7" t="s">
        <v>58</v>
      </c>
    </row>
    <row r="2" spans="1:13" ht="15" customHeight="1" x14ac:dyDescent="0.25">
      <c r="A2" s="9"/>
    </row>
    <row r="4" spans="1:13" ht="15" customHeight="1" x14ac:dyDescent="0.25">
      <c r="A4" s="10" t="s">
        <v>1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</row>
    <row r="5" spans="1:13" ht="15" customHeight="1" x14ac:dyDescent="0.25">
      <c r="A5" s="11" t="s">
        <v>38</v>
      </c>
      <c r="B5" s="12">
        <v>1244739.6100000001</v>
      </c>
      <c r="C5" s="12">
        <v>1244739.6399999999</v>
      </c>
      <c r="D5" s="12">
        <v>1244739.7</v>
      </c>
      <c r="E5" s="12">
        <v>1244739.6299999999</v>
      </c>
      <c r="F5" s="12">
        <v>1244739.5</v>
      </c>
      <c r="G5" s="12">
        <v>1244739.5</v>
      </c>
      <c r="H5" s="12">
        <v>1244739.7</v>
      </c>
      <c r="I5" s="12">
        <v>1244739.69</v>
      </c>
      <c r="J5" s="12">
        <v>1244739.58</v>
      </c>
      <c r="K5" s="12">
        <v>1244739.58</v>
      </c>
      <c r="L5" s="12">
        <v>1244739.69</v>
      </c>
      <c r="M5" s="12">
        <v>1244739.6399999999</v>
      </c>
    </row>
    <row r="6" spans="1:13" ht="15" customHeight="1" x14ac:dyDescent="0.25">
      <c r="A6" s="11" t="s">
        <v>39</v>
      </c>
      <c r="B6" s="12">
        <v>1203449.78</v>
      </c>
      <c r="C6" s="12">
        <v>1203449.71</v>
      </c>
      <c r="D6" s="12">
        <v>1203449.74</v>
      </c>
      <c r="E6" s="12">
        <v>1203449.78</v>
      </c>
      <c r="F6" s="12">
        <v>1203449.7</v>
      </c>
      <c r="G6" s="12">
        <v>1203449.8600000001</v>
      </c>
      <c r="H6" s="12">
        <v>1203449.74</v>
      </c>
      <c r="I6" s="12">
        <v>1203449.8500000001</v>
      </c>
      <c r="J6" s="12">
        <v>1203449.83</v>
      </c>
      <c r="K6" s="12">
        <v>1203449.82</v>
      </c>
      <c r="L6" s="12">
        <v>1203449.79</v>
      </c>
      <c r="M6" s="12">
        <v>1203449.8</v>
      </c>
    </row>
    <row r="7" spans="1:13" ht="15" customHeight="1" x14ac:dyDescent="0.25">
      <c r="A7" s="11" t="s">
        <v>40</v>
      </c>
      <c r="B7" s="12">
        <v>823137.8</v>
      </c>
      <c r="C7" s="12">
        <v>823137.71</v>
      </c>
      <c r="D7" s="12">
        <v>823137.79</v>
      </c>
      <c r="E7" s="12">
        <v>823137.75</v>
      </c>
      <c r="F7" s="12">
        <v>823137.86</v>
      </c>
      <c r="G7" s="12">
        <v>823137.73</v>
      </c>
      <c r="H7" s="12">
        <v>823137.85</v>
      </c>
      <c r="I7" s="12">
        <v>823137.76</v>
      </c>
      <c r="J7" s="12">
        <v>823137.78</v>
      </c>
      <c r="K7" s="12">
        <v>823137.87</v>
      </c>
      <c r="L7" s="12">
        <v>823137.88</v>
      </c>
      <c r="M7" s="12">
        <v>823137.79</v>
      </c>
    </row>
    <row r="8" spans="1:13" ht="15" customHeight="1" x14ac:dyDescent="0.25">
      <c r="A8" s="11" t="s">
        <v>41</v>
      </c>
      <c r="B8" s="12">
        <v>608117.25</v>
      </c>
      <c r="C8" s="12">
        <v>608117.23</v>
      </c>
      <c r="D8" s="12">
        <v>608117.23</v>
      </c>
      <c r="E8" s="12">
        <v>608117.37</v>
      </c>
      <c r="F8" s="12">
        <v>608117.36</v>
      </c>
      <c r="G8" s="12">
        <v>608117.29</v>
      </c>
      <c r="H8" s="12">
        <v>608117.38</v>
      </c>
      <c r="I8" s="12">
        <v>608117.23</v>
      </c>
      <c r="J8" s="12">
        <v>608117.34</v>
      </c>
      <c r="K8" s="12">
        <v>608117.19999999995</v>
      </c>
      <c r="L8" s="12">
        <v>608117.36</v>
      </c>
      <c r="M8" s="12">
        <v>608117.24</v>
      </c>
    </row>
    <row r="9" spans="1:13" ht="15" customHeight="1" x14ac:dyDescent="0.25">
      <c r="A9" s="11" t="s">
        <v>42</v>
      </c>
      <c r="B9" s="12">
        <v>173110.13</v>
      </c>
      <c r="C9" s="12">
        <v>173110.17</v>
      </c>
      <c r="D9" s="12">
        <v>173110</v>
      </c>
      <c r="E9" s="12">
        <v>173110.08</v>
      </c>
      <c r="F9" s="12">
        <v>173110.06</v>
      </c>
      <c r="G9" s="12">
        <v>173110.2</v>
      </c>
      <c r="H9" s="12">
        <v>173110.13</v>
      </c>
      <c r="I9" s="12">
        <v>173110.19</v>
      </c>
      <c r="J9" s="12">
        <v>173110.01</v>
      </c>
      <c r="K9" s="12">
        <v>173110</v>
      </c>
      <c r="L9" s="12">
        <v>173110.16</v>
      </c>
      <c r="M9" s="12">
        <v>173110.19</v>
      </c>
    </row>
    <row r="10" spans="1:13" ht="15" customHeight="1" x14ac:dyDescent="0.25">
      <c r="A10" s="11" t="s">
        <v>43</v>
      </c>
      <c r="B10" s="12">
        <v>399804.09</v>
      </c>
      <c r="C10" s="12">
        <v>399804.17</v>
      </c>
      <c r="D10" s="12">
        <v>399804</v>
      </c>
      <c r="E10" s="12">
        <v>399804</v>
      </c>
      <c r="F10" s="12">
        <v>399804.11</v>
      </c>
      <c r="G10" s="12">
        <v>399804.13</v>
      </c>
      <c r="H10" s="12">
        <v>399804.06</v>
      </c>
      <c r="I10" s="12">
        <v>399804.05</v>
      </c>
      <c r="J10" s="12">
        <v>399804.15</v>
      </c>
      <c r="K10" s="12">
        <v>399804.09</v>
      </c>
      <c r="L10" s="12">
        <v>399804.11</v>
      </c>
      <c r="M10" s="12">
        <v>399804.12</v>
      </c>
    </row>
    <row r="11" spans="1:13" ht="15" customHeight="1" x14ac:dyDescent="0.25">
      <c r="A11" s="11" t="s">
        <v>44</v>
      </c>
      <c r="B11" s="12">
        <v>783642.13</v>
      </c>
      <c r="C11" s="12">
        <v>783642.02</v>
      </c>
      <c r="D11" s="12">
        <v>783642.14</v>
      </c>
      <c r="E11" s="12">
        <v>783642.09</v>
      </c>
      <c r="F11" s="12">
        <v>783642</v>
      </c>
      <c r="G11" s="12">
        <v>783642.16</v>
      </c>
      <c r="H11" s="12">
        <v>783642.03</v>
      </c>
      <c r="I11" s="12">
        <v>783642</v>
      </c>
      <c r="J11" s="12">
        <v>783642.18</v>
      </c>
      <c r="K11" s="12">
        <v>783642.11</v>
      </c>
      <c r="L11" s="12">
        <v>783642.16</v>
      </c>
      <c r="M11" s="12">
        <v>783642.01</v>
      </c>
    </row>
    <row r="12" spans="1:13" ht="15" customHeight="1" x14ac:dyDescent="0.25">
      <c r="A12" s="13" t="s">
        <v>57</v>
      </c>
      <c r="B12" s="14">
        <f t="shared" ref="B12:M12" si="0">SUM(B5:B11)</f>
        <v>5236000.79</v>
      </c>
      <c r="C12" s="14">
        <f t="shared" si="0"/>
        <v>5236000.6500000004</v>
      </c>
      <c r="D12" s="14">
        <f t="shared" si="0"/>
        <v>5236000.5999999996</v>
      </c>
      <c r="E12" s="14">
        <f t="shared" si="0"/>
        <v>5236000.7</v>
      </c>
      <c r="F12" s="14">
        <f t="shared" si="0"/>
        <v>5236000.59</v>
      </c>
      <c r="G12" s="14">
        <f t="shared" si="0"/>
        <v>5236000.870000001</v>
      </c>
      <c r="H12" s="14">
        <f t="shared" si="0"/>
        <v>5236000.8899999997</v>
      </c>
      <c r="I12" s="14">
        <f t="shared" si="0"/>
        <v>5236000.7699999996</v>
      </c>
      <c r="J12" s="14">
        <f t="shared" si="0"/>
        <v>5236000.87</v>
      </c>
      <c r="K12" s="14">
        <f t="shared" si="0"/>
        <v>5236000.6700000009</v>
      </c>
      <c r="L12" s="14">
        <f t="shared" si="0"/>
        <v>5236001.1500000004</v>
      </c>
      <c r="M12" s="14">
        <f t="shared" si="0"/>
        <v>5236000.7899999991</v>
      </c>
    </row>
    <row r="14" spans="1:13" ht="15" customHeight="1" x14ac:dyDescent="0.25">
      <c r="A14" s="15"/>
    </row>
    <row r="15" spans="1:13" ht="15" customHeight="1" x14ac:dyDescent="0.25">
      <c r="A15" s="16"/>
      <c r="B15" s="17"/>
    </row>
    <row r="16" spans="1:13" ht="15" customHeight="1" x14ac:dyDescent="0.25">
      <c r="A16" s="16"/>
      <c r="B16" s="17"/>
    </row>
    <row r="17" spans="1:2" ht="15" customHeight="1" x14ac:dyDescent="0.25">
      <c r="A17" s="16"/>
      <c r="B17" s="18"/>
    </row>
    <row r="18" spans="1:2" ht="15" customHeight="1" x14ac:dyDescent="0.25">
      <c r="A18" s="16"/>
      <c r="B18" s="18"/>
    </row>
    <row r="19" spans="1:2" ht="15" customHeight="1" x14ac:dyDescent="0.25">
      <c r="A19" s="16"/>
      <c r="B19" s="18"/>
    </row>
    <row r="20" spans="1:2" ht="15" customHeight="1" x14ac:dyDescent="0.25">
      <c r="A20" s="16"/>
      <c r="B20" s="17"/>
    </row>
    <row r="21" spans="1:2" ht="15" customHeight="1" x14ac:dyDescent="0.25">
      <c r="A21" s="16"/>
      <c r="B21" s="17"/>
    </row>
    <row r="23" spans="1:2" ht="15" customHeight="1" x14ac:dyDescent="0.25">
      <c r="A23" s="19"/>
      <c r="B23" s="19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54DEA-5F19-4F2A-97DC-2285ADFC07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Бужор Александра Андреевна</cp:lastModifiedBy>
  <cp:revision>0</cp:revision>
  <dcterms:created xsi:type="dcterms:W3CDTF">2026-08-17T12:10:19Z</dcterms:created>
  <dcterms:modified xsi:type="dcterms:W3CDTF">2026-08-20T06:05:43Z</dcterms:modified>
  <dc:language>en-US</dc:language>
</cp:coreProperties>
</file>